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</sheets>
  <definedNames/>
  <calcPr/>
</workbook>
</file>

<file path=xl/sharedStrings.xml><?xml version="1.0" encoding="utf-8"?>
<sst xmlns="http://schemas.openxmlformats.org/spreadsheetml/2006/main" count="83" uniqueCount="82">
  <si>
    <t>Roll no</t>
  </si>
  <si>
    <t>Name of Student</t>
  </si>
  <si>
    <t>Previous Year SPPU Total Marks out of  1400</t>
  </si>
  <si>
    <t>%</t>
  </si>
  <si>
    <t>UT 1 Marks</t>
  </si>
  <si>
    <t>50% maks of Previous Year SPPU Result</t>
  </si>
  <si>
    <t>50% Marks of Unit Test 1</t>
  </si>
  <si>
    <t>Total 100%</t>
  </si>
  <si>
    <t>RAVAL MEET MAHESH</t>
  </si>
  <si>
    <t>HUMBE BHAKTI RAJENDRA</t>
  </si>
  <si>
    <t>MARATHE SANSKRUTI JAGDISH</t>
  </si>
  <si>
    <t>THAKARE MRUNALI VINOD</t>
  </si>
  <si>
    <t>BHONGALE OMKAR MADHUKAR</t>
  </si>
  <si>
    <t>THETE SANJIVANI SANTOSH</t>
  </si>
  <si>
    <t>KHATAL NANDINI RAJENDRA</t>
  </si>
  <si>
    <t>SHELKE GAURAV GIRISH</t>
  </si>
  <si>
    <t>DEVANSHU SHARMA</t>
  </si>
  <si>
    <t>SAHASRABUDHE SOHAM MILIN</t>
  </si>
  <si>
    <t>BHAT YUKTA PRAMOD</t>
  </si>
  <si>
    <t>GOYAL SURAJ MANOJ</t>
  </si>
  <si>
    <t>BAGUL TANMAY VIJAY</t>
  </si>
  <si>
    <t>ALISHA SHEIKH</t>
  </si>
  <si>
    <t>ADHAV ANIKET NARAYAN</t>
  </si>
  <si>
    <t>PARDESHI YUVRAJ CHARANSING</t>
  </si>
  <si>
    <t>PAWAR DNYANESHWARI VISHWAMBHAR</t>
  </si>
  <si>
    <t>MUNGASE SARTHAK ANIL</t>
  </si>
  <si>
    <t>SHAIKH AMAAN AHMED SHAKEEL AHMED</t>
  </si>
  <si>
    <t>PATIL PRATHAMESH SUDHAKAR</t>
  </si>
  <si>
    <t>DESHPANDE SRUSHTI VINAYAK</t>
  </si>
  <si>
    <t>PATHADE UTKARSH VIJAYKANT</t>
  </si>
  <si>
    <t>BAILE MANTHAN VIVEK</t>
  </si>
  <si>
    <t>DHAMANE NAYAN VIDYADHAR</t>
  </si>
  <si>
    <t>DHAWNE DEVANG GANESH</t>
  </si>
  <si>
    <t>KATKAR SURAJ PRADEEP</t>
  </si>
  <si>
    <t>BHUJBAL SRUSHTI VINAYAK</t>
  </si>
  <si>
    <t>RIYA JAWALE</t>
  </si>
  <si>
    <t>JADHAV SUJATA SUDAM</t>
  </si>
  <si>
    <t>DHUMAL GANESH SHIVAJI</t>
  </si>
  <si>
    <t>CHANDAWAR SAMIKSHA SANJAY</t>
  </si>
  <si>
    <t>PURANIK DIVYESH SANDIP</t>
  </si>
  <si>
    <t>POTDAR PRANAV SURYAKANT</t>
  </si>
  <si>
    <t>HEMANT SAINI</t>
  </si>
  <si>
    <t>SHINDE HARSH PRABHAKAR</t>
  </si>
  <si>
    <t>AYAAN SAHIR CHOPDAR</t>
  </si>
  <si>
    <t>SHELAR NEHA NILESH</t>
  </si>
  <si>
    <t>BHUTDA MAHESH SHANTILAL</t>
  </si>
  <si>
    <t>VIDULA VIKAS PATIL</t>
  </si>
  <si>
    <t>BHOSALE ABHIJEET BABURAO</t>
  </si>
  <si>
    <t>VYAVAHARE PUSHKRAJ BALU</t>
  </si>
  <si>
    <t>SURYAWANSHI RUDRESH VINAYAK</t>
  </si>
  <si>
    <t>TRIPATHI VIKALP VIKAS</t>
  </si>
  <si>
    <t>BHALKAR MUKUL RAMKRUSHNAJI</t>
  </si>
  <si>
    <t>NARHE VARSHA RAOSAHEB</t>
  </si>
  <si>
    <t>INGOLE SOHAM GHANSHYAM</t>
  </si>
  <si>
    <t>DESHMUKH YASH ANANT</t>
  </si>
  <si>
    <t>FUNDE ROHIT CHHAGAN</t>
  </si>
  <si>
    <t>ERANDE TEJAS DIPAK</t>
  </si>
  <si>
    <t>HARSH V KAMBLE</t>
  </si>
  <si>
    <t>CHINCHANE SANSKRUTI GAJANAN</t>
  </si>
  <si>
    <t>ANANYA SHARMA</t>
  </si>
  <si>
    <t>SHEWALE PRIYANKA NILESH</t>
  </si>
  <si>
    <t>BADAVE SHRIKRISHNA VASUDEV</t>
  </si>
  <si>
    <t>BORSE ADITYA SHIVAJI</t>
  </si>
  <si>
    <t>JAGDALE ARYAN DIPAK</t>
  </si>
  <si>
    <t>CHAVHAN RANI SANJAY</t>
  </si>
  <si>
    <t>DAKSHA J</t>
  </si>
  <si>
    <t>KOTHIMBIRE YASHRAJ CHANDRAKANT</t>
  </si>
  <si>
    <t>PATIL JAYESH KAILAS</t>
  </si>
  <si>
    <t>DOLAS ADITYA SUNIL</t>
  </si>
  <si>
    <t>SOMA KARTIK DNYANESHWAR</t>
  </si>
  <si>
    <t>SOHAM JAYYANNTH DESHMUKKH</t>
  </si>
  <si>
    <t>DHERE PRANAV SANDIP</t>
  </si>
  <si>
    <t>MAHAJAN KETAN RAHUL</t>
  </si>
  <si>
    <t>GHANWAT SHUBHAM ANNA</t>
  </si>
  <si>
    <t>CHAUDHARI ADITYA ASHISH</t>
  </si>
  <si>
    <t>KEDAR PAVAN PRALHAD</t>
  </si>
  <si>
    <t>PARMAR DEEPAK PRAKASH</t>
  </si>
  <si>
    <t>KUNWAR ABHIJEET SINGH</t>
  </si>
  <si>
    <t>TUPE OM KISHOR</t>
  </si>
  <si>
    <t>DARWEY RUDRA GUNWANT</t>
  </si>
  <si>
    <t>JAGTAP HARISH YUVRAJ</t>
  </si>
  <si>
    <t>ASHUTOSH 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</si>
</sst>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color rgb="FF000000"/>
      <name val="Calibri"/>
    </font>
    <font>
      <sz val="10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Arial"/>
      <scheme val="minor"/>
    </font>
    <font>
      <b/>
      <sz val="12.0"/>
      <color rgb="FF000000"/>
      <name val="Times New Roman"/>
    </font>
    <font/>
    <font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readingOrder="0"/>
    </xf>
    <xf borderId="1" fillId="2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1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 shrinkToFit="0" vertical="bottom" wrapText="1"/>
    </xf>
    <xf borderId="0" fillId="2" fontId="5" numFmtId="0" xfId="0" applyFont="1"/>
    <xf borderId="0" fillId="2" fontId="7" numFmtId="0" xfId="0" applyFont="1"/>
    <xf borderId="3" fillId="2" fontId="8" numFmtId="0" xfId="0" applyAlignment="1" applyBorder="1" applyFont="1">
      <alignment horizontal="left" vertical="center"/>
    </xf>
    <xf borderId="4" fillId="0" fontId="9" numFmtId="0" xfId="0" applyBorder="1" applyFont="1"/>
    <xf borderId="0" fillId="2" fontId="5" numFmtId="1" xfId="0" applyAlignment="1" applyFont="1" applyNumberFormat="1">
      <alignment horizontal="center"/>
    </xf>
    <xf borderId="1" fillId="2" fontId="10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1" numFmtId="1" xfId="0" applyFont="1" applyNumberFormat="1"/>
  </cellXfs>
  <cellStyles count="1">
    <cellStyle xfId="0" name="Normal" builtinId="0"/>
  </cellStyles>
  <dxfs count="3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7.13"/>
    <col customWidth="1" min="3" max="3" width="10.63"/>
    <col customWidth="1" min="4" max="4" width="5.38"/>
    <col customWidth="1" min="5" max="5" width="6.63"/>
    <col customWidth="1" min="6" max="6" width="7.63"/>
    <col customWidth="1" min="7" max="7" width="7.38"/>
    <col customWidth="1" min="8" max="8" width="6.63"/>
    <col customWidth="1" min="9" max="9" width="6.13"/>
    <col customWidth="1" min="10" max="25" width="7.63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3</v>
      </c>
      <c r="G1" s="4" t="s">
        <v>5</v>
      </c>
      <c r="H1" s="5" t="s">
        <v>6</v>
      </c>
      <c r="I1" s="6" t="s">
        <v>7</v>
      </c>
    </row>
    <row r="2" ht="18.0" customHeight="1">
      <c r="A2" s="7">
        <v>1.0</v>
      </c>
      <c r="B2" s="8" t="s">
        <v>8</v>
      </c>
      <c r="C2" s="9">
        <v>1131.0</v>
      </c>
      <c r="D2" s="10">
        <f t="shared" ref="D2:D75" si="1">(C2*100)/1400</f>
        <v>80.78571429</v>
      </c>
      <c r="E2" s="11">
        <v>29.0</v>
      </c>
      <c r="F2" s="10">
        <f t="shared" ref="F2:F75" si="2">(E2*100)/30</f>
        <v>96.66666667</v>
      </c>
      <c r="G2" s="10">
        <v>44.0</v>
      </c>
      <c r="H2" s="10">
        <v>41.0</v>
      </c>
      <c r="I2" s="10">
        <f t="shared" ref="I2:I75" si="3">SUM(G2:H2)</f>
        <v>85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8.0" customHeight="1">
      <c r="A3" s="7">
        <v>2.0</v>
      </c>
      <c r="B3" s="8" t="s">
        <v>9</v>
      </c>
      <c r="C3" s="9">
        <v>1107.0</v>
      </c>
      <c r="D3" s="10">
        <f t="shared" si="1"/>
        <v>79.07142857</v>
      </c>
      <c r="E3" s="11">
        <v>29.0</v>
      </c>
      <c r="F3" s="10">
        <f t="shared" si="2"/>
        <v>96.66666667</v>
      </c>
      <c r="G3" s="10">
        <v>42.0</v>
      </c>
      <c r="H3" s="10">
        <v>41.0</v>
      </c>
      <c r="I3" s="10">
        <f t="shared" si="3"/>
        <v>83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18.0" customHeight="1">
      <c r="A4" s="7">
        <v>3.0</v>
      </c>
      <c r="B4" s="8" t="s">
        <v>10</v>
      </c>
      <c r="C4" s="9">
        <v>995.0</v>
      </c>
      <c r="D4" s="10">
        <f t="shared" si="1"/>
        <v>71.07142857</v>
      </c>
      <c r="E4" s="11">
        <v>27.0</v>
      </c>
      <c r="F4" s="10">
        <f t="shared" si="2"/>
        <v>90</v>
      </c>
      <c r="G4" s="10">
        <v>41.0</v>
      </c>
      <c r="H4" s="10">
        <v>41.0</v>
      </c>
      <c r="I4" s="10">
        <f t="shared" si="3"/>
        <v>82</v>
      </c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18.0" customHeight="1">
      <c r="A5" s="7">
        <v>4.0</v>
      </c>
      <c r="B5" s="8" t="s">
        <v>11</v>
      </c>
      <c r="C5" s="9">
        <v>1077.0</v>
      </c>
      <c r="D5" s="10">
        <f t="shared" si="1"/>
        <v>76.92857143</v>
      </c>
      <c r="E5" s="11">
        <v>28.0</v>
      </c>
      <c r="F5" s="10">
        <f t="shared" si="2"/>
        <v>93.33333333</v>
      </c>
      <c r="G5" s="10">
        <v>43.0</v>
      </c>
      <c r="H5" s="10">
        <v>39.0</v>
      </c>
      <c r="I5" s="10">
        <f t="shared" si="3"/>
        <v>82</v>
      </c>
      <c r="J5" s="1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8.0" customHeight="1">
      <c r="A6" s="7">
        <v>5.0</v>
      </c>
      <c r="B6" s="8" t="s">
        <v>12</v>
      </c>
      <c r="C6" s="9">
        <v>1064.0</v>
      </c>
      <c r="D6" s="10">
        <f t="shared" si="1"/>
        <v>76</v>
      </c>
      <c r="E6" s="11">
        <v>28.0</v>
      </c>
      <c r="F6" s="10">
        <f t="shared" si="2"/>
        <v>93.33333333</v>
      </c>
      <c r="G6" s="10">
        <v>42.0</v>
      </c>
      <c r="H6" s="10">
        <v>38.0</v>
      </c>
      <c r="I6" s="10">
        <f t="shared" si="3"/>
        <v>80</v>
      </c>
      <c r="J6" s="15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8.0" customHeight="1">
      <c r="A7" s="7">
        <v>6.0</v>
      </c>
      <c r="B7" s="8" t="s">
        <v>13</v>
      </c>
      <c r="C7" s="9">
        <v>1129.0</v>
      </c>
      <c r="D7" s="10">
        <f t="shared" si="1"/>
        <v>80.64285714</v>
      </c>
      <c r="E7" s="11">
        <v>29.0</v>
      </c>
      <c r="F7" s="10">
        <f t="shared" si="2"/>
        <v>96.66666667</v>
      </c>
      <c r="G7" s="16">
        <v>43.0</v>
      </c>
      <c r="H7" s="10">
        <v>37.0</v>
      </c>
      <c r="I7" s="10">
        <f t="shared" si="3"/>
        <v>80</v>
      </c>
      <c r="J7" s="15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8.0" customHeight="1">
      <c r="A8" s="7">
        <v>7.0</v>
      </c>
      <c r="B8" s="8" t="s">
        <v>14</v>
      </c>
      <c r="C8" s="9">
        <v>1084.0</v>
      </c>
      <c r="D8" s="10">
        <f t="shared" si="1"/>
        <v>77.42857143</v>
      </c>
      <c r="E8" s="11">
        <v>24.0</v>
      </c>
      <c r="F8" s="10">
        <f t="shared" si="2"/>
        <v>80</v>
      </c>
      <c r="G8" s="10">
        <v>43.0</v>
      </c>
      <c r="H8" s="10">
        <v>37.0</v>
      </c>
      <c r="I8" s="10">
        <f t="shared" si="3"/>
        <v>80</v>
      </c>
      <c r="J8" s="1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8.0" customHeight="1">
      <c r="A9" s="7">
        <v>8.0</v>
      </c>
      <c r="B9" s="8" t="s">
        <v>15</v>
      </c>
      <c r="C9" s="9">
        <v>1184.0</v>
      </c>
      <c r="D9" s="10">
        <f t="shared" si="1"/>
        <v>84.57142857</v>
      </c>
      <c r="E9" s="11">
        <v>25.0</v>
      </c>
      <c r="F9" s="10">
        <f t="shared" si="2"/>
        <v>83.33333333</v>
      </c>
      <c r="G9" s="10">
        <v>44.0</v>
      </c>
      <c r="H9" s="10">
        <v>36.0</v>
      </c>
      <c r="I9" s="10">
        <f t="shared" si="3"/>
        <v>80</v>
      </c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8.0" customHeight="1">
      <c r="A10" s="7">
        <v>9.0</v>
      </c>
      <c r="B10" s="8" t="s">
        <v>16</v>
      </c>
      <c r="C10" s="9">
        <v>1095.0</v>
      </c>
      <c r="D10" s="10">
        <f t="shared" si="1"/>
        <v>78.21428571</v>
      </c>
      <c r="E10" s="11">
        <v>25.0</v>
      </c>
      <c r="F10" s="10">
        <f t="shared" si="2"/>
        <v>83.33333333</v>
      </c>
      <c r="G10" s="10">
        <v>42.0</v>
      </c>
      <c r="H10" s="10">
        <v>37.0</v>
      </c>
      <c r="I10" s="10">
        <f t="shared" si="3"/>
        <v>79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8.0" customHeight="1">
      <c r="A11" s="7">
        <v>10.0</v>
      </c>
      <c r="B11" s="8" t="s">
        <v>17</v>
      </c>
      <c r="C11" s="9">
        <v>1203.0</v>
      </c>
      <c r="D11" s="10">
        <f t="shared" si="1"/>
        <v>85.92857143</v>
      </c>
      <c r="E11" s="11">
        <v>26.0</v>
      </c>
      <c r="F11" s="10">
        <f t="shared" si="2"/>
        <v>86.66666667</v>
      </c>
      <c r="G11" s="8">
        <v>45.0</v>
      </c>
      <c r="H11" s="10">
        <v>34.0</v>
      </c>
      <c r="I11" s="10">
        <f t="shared" si="3"/>
        <v>79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8.0" customHeight="1">
      <c r="A12" s="7">
        <v>11.0</v>
      </c>
      <c r="B12" s="8" t="s">
        <v>18</v>
      </c>
      <c r="C12" s="9">
        <v>991.0</v>
      </c>
      <c r="D12" s="10">
        <f t="shared" si="1"/>
        <v>70.78571429</v>
      </c>
      <c r="E12" s="11">
        <v>28.0</v>
      </c>
      <c r="F12" s="10">
        <f t="shared" si="2"/>
        <v>93.33333333</v>
      </c>
      <c r="G12" s="10">
        <f t="shared" ref="G12:G19" si="4">D12/2</f>
        <v>35.39285714</v>
      </c>
      <c r="H12" s="10">
        <v>40.0</v>
      </c>
      <c r="I12" s="10">
        <f t="shared" si="3"/>
        <v>75.39285714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8.0" customHeight="1">
      <c r="A13" s="7">
        <v>12.0</v>
      </c>
      <c r="B13" s="8" t="s">
        <v>19</v>
      </c>
      <c r="C13" s="9">
        <v>1138.0</v>
      </c>
      <c r="D13" s="10">
        <f t="shared" si="1"/>
        <v>81.28571429</v>
      </c>
      <c r="E13" s="11">
        <v>20.0</v>
      </c>
      <c r="F13" s="10">
        <f t="shared" si="2"/>
        <v>66.66666667</v>
      </c>
      <c r="G13" s="10">
        <f t="shared" si="4"/>
        <v>40.64285714</v>
      </c>
      <c r="H13" s="10">
        <v>34.0</v>
      </c>
      <c r="I13" s="10">
        <f t="shared" si="3"/>
        <v>74.64285714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8.0" customHeight="1">
      <c r="A14" s="7">
        <v>13.0</v>
      </c>
      <c r="B14" s="8" t="s">
        <v>20</v>
      </c>
      <c r="C14" s="9">
        <v>980.0</v>
      </c>
      <c r="D14" s="10">
        <f t="shared" si="1"/>
        <v>70</v>
      </c>
      <c r="E14" s="11">
        <v>27.0</v>
      </c>
      <c r="F14" s="10">
        <f t="shared" si="2"/>
        <v>90</v>
      </c>
      <c r="G14" s="10">
        <f t="shared" si="4"/>
        <v>35</v>
      </c>
      <c r="H14" s="10">
        <v>39.0</v>
      </c>
      <c r="I14" s="10">
        <f t="shared" si="3"/>
        <v>74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8.0" customHeight="1">
      <c r="A15" s="7">
        <v>14.0</v>
      </c>
      <c r="B15" s="8" t="s">
        <v>21</v>
      </c>
      <c r="C15" s="9">
        <v>947.0</v>
      </c>
      <c r="D15" s="10">
        <f t="shared" si="1"/>
        <v>67.64285714</v>
      </c>
      <c r="E15" s="11">
        <v>28.0</v>
      </c>
      <c r="F15" s="10">
        <f t="shared" si="2"/>
        <v>93.33333333</v>
      </c>
      <c r="G15" s="10">
        <f t="shared" si="4"/>
        <v>33.82142857</v>
      </c>
      <c r="H15" s="10">
        <v>40.0</v>
      </c>
      <c r="I15" s="10">
        <f t="shared" si="3"/>
        <v>73.82142857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8.0" customHeight="1">
      <c r="A16" s="7">
        <v>15.0</v>
      </c>
      <c r="B16" s="8" t="s">
        <v>22</v>
      </c>
      <c r="C16" s="9">
        <v>916.0</v>
      </c>
      <c r="D16" s="10">
        <f t="shared" si="1"/>
        <v>65.42857143</v>
      </c>
      <c r="E16" s="11">
        <v>29.0</v>
      </c>
      <c r="F16" s="10">
        <f t="shared" si="2"/>
        <v>96.66666667</v>
      </c>
      <c r="G16" s="10">
        <f t="shared" si="4"/>
        <v>32.71428571</v>
      </c>
      <c r="H16" s="10">
        <v>41.0</v>
      </c>
      <c r="I16" s="10">
        <f t="shared" si="3"/>
        <v>73.71428571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8.0" customHeight="1">
      <c r="A17" s="7">
        <v>16.0</v>
      </c>
      <c r="B17" s="8" t="s">
        <v>23</v>
      </c>
      <c r="C17" s="9">
        <v>1054.0</v>
      </c>
      <c r="D17" s="10">
        <f t="shared" si="1"/>
        <v>75.28571429</v>
      </c>
      <c r="E17" s="11">
        <v>26.0</v>
      </c>
      <c r="F17" s="10">
        <f t="shared" si="2"/>
        <v>86.66666667</v>
      </c>
      <c r="G17" s="10">
        <f t="shared" si="4"/>
        <v>37.64285714</v>
      </c>
      <c r="H17" s="10">
        <v>36.0</v>
      </c>
      <c r="I17" s="10">
        <f t="shared" si="3"/>
        <v>73.64285714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8.0" customHeight="1">
      <c r="A18" s="7">
        <v>17.0</v>
      </c>
      <c r="B18" s="8" t="s">
        <v>24</v>
      </c>
      <c r="C18" s="9">
        <v>998.0</v>
      </c>
      <c r="D18" s="10">
        <f t="shared" si="1"/>
        <v>71.28571429</v>
      </c>
      <c r="E18" s="11">
        <v>28.0</v>
      </c>
      <c r="F18" s="10">
        <f t="shared" si="2"/>
        <v>93.33333333</v>
      </c>
      <c r="G18" s="10">
        <f t="shared" si="4"/>
        <v>35.64285714</v>
      </c>
      <c r="H18" s="10">
        <v>38.0</v>
      </c>
      <c r="I18" s="10">
        <f t="shared" si="3"/>
        <v>73.64285714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8.0" customHeight="1">
      <c r="A19" s="7">
        <v>18.0</v>
      </c>
      <c r="B19" s="8" t="s">
        <v>25</v>
      </c>
      <c r="C19" s="9">
        <v>992.0</v>
      </c>
      <c r="D19" s="10">
        <f t="shared" si="1"/>
        <v>70.85714286</v>
      </c>
      <c r="E19" s="11">
        <v>25.0</v>
      </c>
      <c r="F19" s="10">
        <f t="shared" si="2"/>
        <v>83.33333333</v>
      </c>
      <c r="G19" s="10">
        <f t="shared" si="4"/>
        <v>35.42857143</v>
      </c>
      <c r="H19" s="10">
        <v>38.0</v>
      </c>
      <c r="I19" s="10">
        <f t="shared" si="3"/>
        <v>73.42857143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8.0" customHeight="1">
      <c r="A20" s="7">
        <v>19.0</v>
      </c>
      <c r="B20" s="8" t="s">
        <v>26</v>
      </c>
      <c r="C20" s="9">
        <v>1085.0</v>
      </c>
      <c r="D20" s="10">
        <f t="shared" si="1"/>
        <v>77.5</v>
      </c>
      <c r="E20" s="11">
        <v>25.0</v>
      </c>
      <c r="F20" s="10">
        <f t="shared" si="2"/>
        <v>83.33333333</v>
      </c>
      <c r="G20" s="10">
        <f>D19/2</f>
        <v>35.42857143</v>
      </c>
      <c r="H20" s="10">
        <v>38.0</v>
      </c>
      <c r="I20" s="10">
        <f t="shared" si="3"/>
        <v>73.42857143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8.0" customHeight="1">
      <c r="A21" s="7">
        <v>20.0</v>
      </c>
      <c r="B21" s="8" t="s">
        <v>27</v>
      </c>
      <c r="C21" s="9">
        <v>1090.0</v>
      </c>
      <c r="D21" s="10">
        <f t="shared" si="1"/>
        <v>77.85714286</v>
      </c>
      <c r="E21" s="11">
        <v>21.0</v>
      </c>
      <c r="F21" s="10">
        <f t="shared" si="2"/>
        <v>70</v>
      </c>
      <c r="G21" s="10">
        <f t="shared" ref="G21:G75" si="5">D21/2</f>
        <v>38.92857143</v>
      </c>
      <c r="H21" s="10">
        <v>34.0</v>
      </c>
      <c r="I21" s="10">
        <f t="shared" si="3"/>
        <v>72.92857143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8.0" customHeight="1">
      <c r="A22" s="7">
        <v>21.0</v>
      </c>
      <c r="B22" s="8" t="s">
        <v>28</v>
      </c>
      <c r="C22" s="9">
        <v>949.0</v>
      </c>
      <c r="D22" s="10">
        <f t="shared" si="1"/>
        <v>67.78571429</v>
      </c>
      <c r="E22" s="11">
        <v>27.0</v>
      </c>
      <c r="F22" s="10">
        <f t="shared" si="2"/>
        <v>90</v>
      </c>
      <c r="G22" s="10">
        <f t="shared" si="5"/>
        <v>33.89285714</v>
      </c>
      <c r="H22" s="10">
        <v>39.0</v>
      </c>
      <c r="I22" s="10">
        <f t="shared" si="3"/>
        <v>72.89285714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8.0" customHeight="1">
      <c r="A23" s="7">
        <v>22.0</v>
      </c>
      <c r="B23" s="8" t="s">
        <v>29</v>
      </c>
      <c r="C23" s="9">
        <v>1077.0</v>
      </c>
      <c r="D23" s="10">
        <f t="shared" si="1"/>
        <v>76.92857143</v>
      </c>
      <c r="E23" s="11">
        <v>24.0</v>
      </c>
      <c r="F23" s="10">
        <f t="shared" si="2"/>
        <v>80</v>
      </c>
      <c r="G23" s="10">
        <f t="shared" si="5"/>
        <v>38.46428571</v>
      </c>
      <c r="H23" s="10">
        <v>34.0</v>
      </c>
      <c r="I23" s="10">
        <f t="shared" si="3"/>
        <v>72.46428571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8.0" customHeight="1">
      <c r="A24" s="7">
        <v>23.0</v>
      </c>
      <c r="B24" s="8" t="s">
        <v>30</v>
      </c>
      <c r="C24" s="9">
        <v>1076.0</v>
      </c>
      <c r="D24" s="10">
        <f t="shared" si="1"/>
        <v>76.85714286</v>
      </c>
      <c r="E24" s="11">
        <v>29.0</v>
      </c>
      <c r="F24" s="10">
        <f t="shared" si="2"/>
        <v>96.66666667</v>
      </c>
      <c r="G24" s="10">
        <f t="shared" si="5"/>
        <v>38.42857143</v>
      </c>
      <c r="H24" s="10">
        <v>34.0</v>
      </c>
      <c r="I24" s="10">
        <f t="shared" si="3"/>
        <v>72.42857143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8.0" customHeight="1">
      <c r="A25" s="7">
        <v>24.0</v>
      </c>
      <c r="B25" s="8" t="s">
        <v>31</v>
      </c>
      <c r="C25" s="9">
        <v>978.0</v>
      </c>
      <c r="D25" s="10">
        <f t="shared" si="1"/>
        <v>69.85714286</v>
      </c>
      <c r="E25" s="11">
        <v>29.0</v>
      </c>
      <c r="F25" s="10">
        <f t="shared" si="2"/>
        <v>96.66666667</v>
      </c>
      <c r="G25" s="10">
        <f t="shared" si="5"/>
        <v>34.92857143</v>
      </c>
      <c r="H25" s="10">
        <v>37.0</v>
      </c>
      <c r="I25" s="10">
        <f t="shared" si="3"/>
        <v>71.92857143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8.0" customHeight="1">
      <c r="A26" s="7">
        <v>25.0</v>
      </c>
      <c r="B26" s="8" t="s">
        <v>32</v>
      </c>
      <c r="C26" s="9">
        <v>999.0</v>
      </c>
      <c r="D26" s="10">
        <f t="shared" si="1"/>
        <v>71.35714286</v>
      </c>
      <c r="E26" s="11">
        <v>23.0</v>
      </c>
      <c r="F26" s="10">
        <f t="shared" si="2"/>
        <v>76.66666667</v>
      </c>
      <c r="G26" s="10">
        <f t="shared" si="5"/>
        <v>35.67857143</v>
      </c>
      <c r="H26" s="10">
        <v>36.0</v>
      </c>
      <c r="I26" s="10">
        <f t="shared" si="3"/>
        <v>71.67857143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8.0" customHeight="1">
      <c r="A27" s="7">
        <v>26.0</v>
      </c>
      <c r="B27" s="8" t="s">
        <v>33</v>
      </c>
      <c r="C27" s="9">
        <v>878.0</v>
      </c>
      <c r="D27" s="10">
        <f t="shared" si="1"/>
        <v>62.71428571</v>
      </c>
      <c r="E27" s="11">
        <v>27.0</v>
      </c>
      <c r="F27" s="10">
        <f t="shared" si="2"/>
        <v>90</v>
      </c>
      <c r="G27" s="10">
        <f t="shared" si="5"/>
        <v>31.35714286</v>
      </c>
      <c r="H27" s="10">
        <v>40.0</v>
      </c>
      <c r="I27" s="10">
        <f t="shared" si="3"/>
        <v>71.35714286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8.0" customHeight="1">
      <c r="A28" s="7">
        <v>27.0</v>
      </c>
      <c r="B28" s="8" t="s">
        <v>34</v>
      </c>
      <c r="C28" s="9">
        <v>932.0</v>
      </c>
      <c r="D28" s="10">
        <f t="shared" si="1"/>
        <v>66.57142857</v>
      </c>
      <c r="E28" s="11">
        <v>29.0</v>
      </c>
      <c r="F28" s="10">
        <f t="shared" si="2"/>
        <v>96.66666667</v>
      </c>
      <c r="G28" s="10">
        <f t="shared" si="5"/>
        <v>33.28571429</v>
      </c>
      <c r="H28" s="10">
        <v>38.0</v>
      </c>
      <c r="I28" s="10">
        <f t="shared" si="3"/>
        <v>71.28571429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8.0" customHeight="1">
      <c r="A29" s="7">
        <v>28.0</v>
      </c>
      <c r="B29" s="8" t="s">
        <v>35</v>
      </c>
      <c r="C29" s="9">
        <v>1008.0</v>
      </c>
      <c r="D29" s="10">
        <f t="shared" si="1"/>
        <v>72</v>
      </c>
      <c r="E29" s="11">
        <v>24.0</v>
      </c>
      <c r="F29" s="10">
        <f t="shared" si="2"/>
        <v>80</v>
      </c>
      <c r="G29" s="10">
        <f t="shared" si="5"/>
        <v>36</v>
      </c>
      <c r="H29" s="10">
        <v>35.0</v>
      </c>
      <c r="I29" s="10">
        <f t="shared" si="3"/>
        <v>71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8.0" customHeight="1">
      <c r="A30" s="7">
        <v>29.0</v>
      </c>
      <c r="B30" s="8" t="s">
        <v>36</v>
      </c>
      <c r="C30" s="9">
        <v>864.0</v>
      </c>
      <c r="D30" s="10">
        <f t="shared" si="1"/>
        <v>61.71428571</v>
      </c>
      <c r="E30" s="11">
        <v>28.0</v>
      </c>
      <c r="F30" s="10">
        <f t="shared" si="2"/>
        <v>93.33333333</v>
      </c>
      <c r="G30" s="10">
        <f t="shared" si="5"/>
        <v>30.85714286</v>
      </c>
      <c r="H30" s="10">
        <v>40.0</v>
      </c>
      <c r="I30" s="10">
        <f t="shared" si="3"/>
        <v>70.85714286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8.0" customHeight="1">
      <c r="A31" s="7">
        <v>30.0</v>
      </c>
      <c r="B31" s="8" t="s">
        <v>37</v>
      </c>
      <c r="C31" s="9">
        <v>1046.0</v>
      </c>
      <c r="D31" s="10">
        <f t="shared" si="1"/>
        <v>74.71428571</v>
      </c>
      <c r="E31" s="11">
        <v>23.0</v>
      </c>
      <c r="F31" s="10">
        <f t="shared" si="2"/>
        <v>76.66666667</v>
      </c>
      <c r="G31" s="10">
        <f t="shared" si="5"/>
        <v>37.35714286</v>
      </c>
      <c r="H31" s="10">
        <v>33.0</v>
      </c>
      <c r="I31" s="10">
        <f t="shared" si="3"/>
        <v>70.35714286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8.0" customHeight="1">
      <c r="A32" s="7">
        <v>31.0</v>
      </c>
      <c r="B32" s="8" t="s">
        <v>38</v>
      </c>
      <c r="C32" s="9">
        <v>957.0</v>
      </c>
      <c r="D32" s="10">
        <f t="shared" si="1"/>
        <v>68.35714286</v>
      </c>
      <c r="E32" s="11">
        <v>24.0</v>
      </c>
      <c r="F32" s="10">
        <f t="shared" si="2"/>
        <v>80</v>
      </c>
      <c r="G32" s="10">
        <f t="shared" si="5"/>
        <v>34.17857143</v>
      </c>
      <c r="H32" s="10">
        <v>36.0</v>
      </c>
      <c r="I32" s="10">
        <f t="shared" si="3"/>
        <v>70.17857143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8.0" customHeight="1">
      <c r="A33" s="7">
        <v>32.0</v>
      </c>
      <c r="B33" s="8" t="s">
        <v>39</v>
      </c>
      <c r="C33" s="9">
        <v>926.0</v>
      </c>
      <c r="D33" s="10">
        <f t="shared" si="1"/>
        <v>66.14285714</v>
      </c>
      <c r="E33" s="11">
        <v>19.0</v>
      </c>
      <c r="F33" s="10">
        <f t="shared" si="2"/>
        <v>63.33333333</v>
      </c>
      <c r="G33" s="10">
        <f t="shared" si="5"/>
        <v>33.07142857</v>
      </c>
      <c r="H33" s="10">
        <v>37.0</v>
      </c>
      <c r="I33" s="10">
        <f t="shared" si="3"/>
        <v>70.07142857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8.0" customHeight="1">
      <c r="A34" s="7">
        <v>33.0</v>
      </c>
      <c r="B34" s="8" t="s">
        <v>40</v>
      </c>
      <c r="C34" s="9">
        <v>979.0</v>
      </c>
      <c r="D34" s="10">
        <f t="shared" si="1"/>
        <v>69.92857143</v>
      </c>
      <c r="E34" s="11">
        <v>26.0</v>
      </c>
      <c r="F34" s="10">
        <f t="shared" si="2"/>
        <v>86.66666667</v>
      </c>
      <c r="G34" s="10">
        <f t="shared" si="5"/>
        <v>34.96428571</v>
      </c>
      <c r="H34" s="10">
        <v>35.0</v>
      </c>
      <c r="I34" s="10">
        <f t="shared" si="3"/>
        <v>69.96428571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8.0" customHeight="1">
      <c r="A35" s="7">
        <v>34.0</v>
      </c>
      <c r="B35" s="8" t="s">
        <v>41</v>
      </c>
      <c r="C35" s="9">
        <v>1051.0</v>
      </c>
      <c r="D35" s="10">
        <f t="shared" si="1"/>
        <v>75.07142857</v>
      </c>
      <c r="E35" s="11">
        <v>29.0</v>
      </c>
      <c r="F35" s="10">
        <f t="shared" si="2"/>
        <v>96.66666667</v>
      </c>
      <c r="G35" s="10">
        <f t="shared" si="5"/>
        <v>37.53571429</v>
      </c>
      <c r="H35" s="10">
        <v>32.0</v>
      </c>
      <c r="I35" s="10">
        <f t="shared" si="3"/>
        <v>69.53571429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8.0" customHeight="1">
      <c r="A36" s="7">
        <v>35.0</v>
      </c>
      <c r="B36" s="8" t="s">
        <v>42</v>
      </c>
      <c r="C36" s="9">
        <v>1019.0</v>
      </c>
      <c r="D36" s="10">
        <f t="shared" si="1"/>
        <v>72.78571429</v>
      </c>
      <c r="E36" s="11">
        <v>23.0</v>
      </c>
      <c r="F36" s="10">
        <f t="shared" si="2"/>
        <v>76.66666667</v>
      </c>
      <c r="G36" s="10">
        <f t="shared" si="5"/>
        <v>36.39285714</v>
      </c>
      <c r="H36" s="10">
        <v>33.0</v>
      </c>
      <c r="I36" s="10">
        <f t="shared" si="3"/>
        <v>69.39285714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8.0" customHeight="1">
      <c r="A37" s="7">
        <v>36.0</v>
      </c>
      <c r="B37" s="8" t="s">
        <v>43</v>
      </c>
      <c r="C37" s="9">
        <v>952.0</v>
      </c>
      <c r="D37" s="10">
        <f t="shared" si="1"/>
        <v>68</v>
      </c>
      <c r="E37" s="11">
        <v>18.0</v>
      </c>
      <c r="F37" s="10">
        <f t="shared" si="2"/>
        <v>60</v>
      </c>
      <c r="G37" s="10">
        <f t="shared" si="5"/>
        <v>34</v>
      </c>
      <c r="H37" s="10">
        <v>35.0</v>
      </c>
      <c r="I37" s="10">
        <f t="shared" si="3"/>
        <v>69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8.0" customHeight="1">
      <c r="A38" s="7">
        <v>37.0</v>
      </c>
      <c r="B38" s="8" t="s">
        <v>44</v>
      </c>
      <c r="C38" s="9">
        <v>895.0</v>
      </c>
      <c r="D38" s="10">
        <f t="shared" si="1"/>
        <v>63.92857143</v>
      </c>
      <c r="E38" s="11">
        <v>28.0</v>
      </c>
      <c r="F38" s="10">
        <f t="shared" si="2"/>
        <v>93.33333333</v>
      </c>
      <c r="G38" s="10">
        <f t="shared" si="5"/>
        <v>31.96428571</v>
      </c>
      <c r="H38" s="10">
        <v>37.0</v>
      </c>
      <c r="I38" s="10">
        <f t="shared" si="3"/>
        <v>68.96428571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8.0" customHeight="1">
      <c r="A39" s="7">
        <v>38.0</v>
      </c>
      <c r="B39" s="8" t="s">
        <v>45</v>
      </c>
      <c r="C39" s="9">
        <v>1059.0</v>
      </c>
      <c r="D39" s="10">
        <f t="shared" si="1"/>
        <v>75.64285714</v>
      </c>
      <c r="E39" s="11">
        <v>21.0</v>
      </c>
      <c r="F39" s="10">
        <f t="shared" si="2"/>
        <v>70</v>
      </c>
      <c r="G39" s="10">
        <f t="shared" si="5"/>
        <v>37.82142857</v>
      </c>
      <c r="H39" s="10">
        <v>31.0</v>
      </c>
      <c r="I39" s="10">
        <f t="shared" si="3"/>
        <v>68.82142857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8.0" customHeight="1">
      <c r="A40" s="7">
        <v>39.0</v>
      </c>
      <c r="B40" s="8" t="s">
        <v>46</v>
      </c>
      <c r="C40" s="9">
        <v>866.0</v>
      </c>
      <c r="D40" s="10">
        <f t="shared" si="1"/>
        <v>61.85714286</v>
      </c>
      <c r="E40" s="11">
        <v>23.0</v>
      </c>
      <c r="F40" s="10">
        <f t="shared" si="2"/>
        <v>76.66666667</v>
      </c>
      <c r="G40" s="10">
        <f t="shared" si="5"/>
        <v>30.92857143</v>
      </c>
      <c r="H40" s="10">
        <v>37.0</v>
      </c>
      <c r="I40" s="10">
        <f t="shared" si="3"/>
        <v>67.92857143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8.0" customHeight="1">
      <c r="A41" s="7">
        <v>40.0</v>
      </c>
      <c r="B41" s="8" t="s">
        <v>47</v>
      </c>
      <c r="C41" s="9">
        <v>1143.0</v>
      </c>
      <c r="D41" s="10">
        <f t="shared" si="1"/>
        <v>81.64285714</v>
      </c>
      <c r="E41" s="11">
        <v>18.0</v>
      </c>
      <c r="F41" s="10">
        <f t="shared" si="2"/>
        <v>60</v>
      </c>
      <c r="G41" s="10">
        <f t="shared" si="5"/>
        <v>40.82142857</v>
      </c>
      <c r="H41" s="10">
        <v>27.0</v>
      </c>
      <c r="I41" s="10">
        <f t="shared" si="3"/>
        <v>67.82142857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8.0" customHeight="1">
      <c r="A42" s="7">
        <v>41.0</v>
      </c>
      <c r="B42" s="8" t="s">
        <v>48</v>
      </c>
      <c r="C42" s="9">
        <v>916.0</v>
      </c>
      <c r="D42" s="10">
        <f t="shared" si="1"/>
        <v>65.42857143</v>
      </c>
      <c r="E42" s="11">
        <v>24.0</v>
      </c>
      <c r="F42" s="10">
        <f t="shared" si="2"/>
        <v>80</v>
      </c>
      <c r="G42" s="10">
        <f t="shared" si="5"/>
        <v>32.71428571</v>
      </c>
      <c r="H42" s="10">
        <v>35.0</v>
      </c>
      <c r="I42" s="10">
        <f t="shared" si="3"/>
        <v>67.71428571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8.0" customHeight="1">
      <c r="A43" s="7">
        <v>42.0</v>
      </c>
      <c r="B43" s="8" t="s">
        <v>49</v>
      </c>
      <c r="C43" s="9">
        <v>913.0</v>
      </c>
      <c r="D43" s="10">
        <f t="shared" si="1"/>
        <v>65.21428571</v>
      </c>
      <c r="E43" s="11">
        <v>28.0</v>
      </c>
      <c r="F43" s="10">
        <f t="shared" si="2"/>
        <v>93.33333333</v>
      </c>
      <c r="G43" s="10">
        <f t="shared" si="5"/>
        <v>32.60714286</v>
      </c>
      <c r="H43" s="10">
        <v>35.0</v>
      </c>
      <c r="I43" s="10">
        <f t="shared" si="3"/>
        <v>67.60714286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8.0" customHeight="1">
      <c r="A44" s="7">
        <v>43.0</v>
      </c>
      <c r="B44" s="8" t="s">
        <v>50</v>
      </c>
      <c r="C44" s="9">
        <v>969.0</v>
      </c>
      <c r="D44" s="10">
        <f t="shared" si="1"/>
        <v>69.21428571</v>
      </c>
      <c r="E44" s="11">
        <v>21.0</v>
      </c>
      <c r="F44" s="10">
        <f t="shared" si="2"/>
        <v>70</v>
      </c>
      <c r="G44" s="10">
        <f t="shared" si="5"/>
        <v>34.60714286</v>
      </c>
      <c r="H44" s="10">
        <v>33.0</v>
      </c>
      <c r="I44" s="10">
        <f t="shared" si="3"/>
        <v>67.60714286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8.0" customHeight="1">
      <c r="A45" s="7">
        <v>44.0</v>
      </c>
      <c r="B45" s="8" t="s">
        <v>51</v>
      </c>
      <c r="C45" s="9">
        <v>1043.0</v>
      </c>
      <c r="D45" s="10">
        <f t="shared" si="1"/>
        <v>74.5</v>
      </c>
      <c r="E45" s="11">
        <v>23.0</v>
      </c>
      <c r="F45" s="10">
        <f t="shared" si="2"/>
        <v>76.66666667</v>
      </c>
      <c r="G45" s="10">
        <f t="shared" si="5"/>
        <v>37.25</v>
      </c>
      <c r="H45" s="10">
        <v>30.0</v>
      </c>
      <c r="I45" s="10">
        <f t="shared" si="3"/>
        <v>67.25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8.0" customHeight="1">
      <c r="A46" s="7">
        <v>45.0</v>
      </c>
      <c r="B46" s="8" t="s">
        <v>52</v>
      </c>
      <c r="C46" s="9">
        <v>818.0</v>
      </c>
      <c r="D46" s="10">
        <f t="shared" si="1"/>
        <v>58.42857143</v>
      </c>
      <c r="E46" s="11">
        <v>28.0</v>
      </c>
      <c r="F46" s="10">
        <f t="shared" si="2"/>
        <v>93.33333333</v>
      </c>
      <c r="G46" s="10">
        <f t="shared" si="5"/>
        <v>29.21428571</v>
      </c>
      <c r="H46" s="10">
        <v>38.0</v>
      </c>
      <c r="I46" s="10">
        <f t="shared" si="3"/>
        <v>67.21428571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8.0" customHeight="1">
      <c r="A47" s="7">
        <v>46.0</v>
      </c>
      <c r="B47" s="8" t="s">
        <v>53</v>
      </c>
      <c r="C47" s="9">
        <v>1067.0</v>
      </c>
      <c r="D47" s="10">
        <f t="shared" si="1"/>
        <v>76.21428571</v>
      </c>
      <c r="E47" s="11">
        <v>22.0</v>
      </c>
      <c r="F47" s="10">
        <f t="shared" si="2"/>
        <v>73.33333333</v>
      </c>
      <c r="G47" s="10">
        <f t="shared" si="5"/>
        <v>38.10714286</v>
      </c>
      <c r="H47" s="10">
        <v>29.0</v>
      </c>
      <c r="I47" s="10">
        <f t="shared" si="3"/>
        <v>67.10714286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8.0" customHeight="1">
      <c r="A48" s="7">
        <v>47.0</v>
      </c>
      <c r="B48" s="8" t="s">
        <v>54</v>
      </c>
      <c r="C48" s="9">
        <v>835.0</v>
      </c>
      <c r="D48" s="10">
        <f t="shared" si="1"/>
        <v>59.64285714</v>
      </c>
      <c r="E48" s="11">
        <v>15.0</v>
      </c>
      <c r="F48" s="10">
        <f t="shared" si="2"/>
        <v>50</v>
      </c>
      <c r="G48" s="10">
        <f t="shared" si="5"/>
        <v>29.82142857</v>
      </c>
      <c r="H48" s="10">
        <v>37.0</v>
      </c>
      <c r="I48" s="10">
        <f t="shared" si="3"/>
        <v>66.82142857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8.0" customHeight="1">
      <c r="A49" s="7">
        <v>48.0</v>
      </c>
      <c r="B49" s="8" t="s">
        <v>55</v>
      </c>
      <c r="C49" s="9">
        <v>921.0</v>
      </c>
      <c r="D49" s="10">
        <f t="shared" si="1"/>
        <v>65.78571429</v>
      </c>
      <c r="E49" s="11">
        <v>17.0</v>
      </c>
      <c r="F49" s="10">
        <f t="shared" si="2"/>
        <v>56.66666667</v>
      </c>
      <c r="G49" s="10">
        <f t="shared" si="5"/>
        <v>32.89285714</v>
      </c>
      <c r="H49" s="10">
        <v>33.0</v>
      </c>
      <c r="I49" s="10">
        <f t="shared" si="3"/>
        <v>65.89285714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8.0" customHeight="1">
      <c r="A50" s="7">
        <v>49.0</v>
      </c>
      <c r="B50" s="8" t="s">
        <v>56</v>
      </c>
      <c r="C50" s="9">
        <v>920.0</v>
      </c>
      <c r="D50" s="10">
        <f t="shared" si="1"/>
        <v>65.71428571</v>
      </c>
      <c r="E50" s="11">
        <v>25.0</v>
      </c>
      <c r="F50" s="10">
        <f t="shared" si="2"/>
        <v>83.33333333</v>
      </c>
      <c r="G50" s="10">
        <f t="shared" si="5"/>
        <v>32.85714286</v>
      </c>
      <c r="H50" s="10">
        <v>33.0</v>
      </c>
      <c r="I50" s="10">
        <f t="shared" si="3"/>
        <v>65.85714286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8.0" customHeight="1">
      <c r="A51" s="7">
        <v>50.0</v>
      </c>
      <c r="B51" s="8" t="s">
        <v>57</v>
      </c>
      <c r="C51" s="9">
        <v>1025.0</v>
      </c>
      <c r="D51" s="10">
        <f t="shared" si="1"/>
        <v>73.21428571</v>
      </c>
      <c r="E51" s="11">
        <v>26.0</v>
      </c>
      <c r="F51" s="10">
        <f t="shared" si="2"/>
        <v>86.66666667</v>
      </c>
      <c r="G51" s="10">
        <f t="shared" si="5"/>
        <v>36.60714286</v>
      </c>
      <c r="H51" s="10">
        <v>29.0</v>
      </c>
      <c r="I51" s="10">
        <f t="shared" si="3"/>
        <v>65.60714286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8.0" customHeight="1">
      <c r="A52" s="7">
        <v>51.0</v>
      </c>
      <c r="B52" s="8" t="s">
        <v>58</v>
      </c>
      <c r="C52" s="9">
        <v>864.0</v>
      </c>
      <c r="D52" s="10">
        <f t="shared" si="1"/>
        <v>61.71428571</v>
      </c>
      <c r="E52" s="11">
        <v>22.0</v>
      </c>
      <c r="F52" s="10">
        <f t="shared" si="2"/>
        <v>73.33333333</v>
      </c>
      <c r="G52" s="10">
        <f t="shared" si="5"/>
        <v>30.85714286</v>
      </c>
      <c r="H52" s="10">
        <v>34.0</v>
      </c>
      <c r="I52" s="10">
        <f t="shared" si="3"/>
        <v>64.85714286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8.0" customHeight="1">
      <c r="A53" s="7">
        <v>52.0</v>
      </c>
      <c r="B53" s="8" t="s">
        <v>59</v>
      </c>
      <c r="C53" s="9">
        <v>974.0</v>
      </c>
      <c r="D53" s="10">
        <f t="shared" si="1"/>
        <v>69.57142857</v>
      </c>
      <c r="E53" s="11">
        <v>22.0</v>
      </c>
      <c r="F53" s="10">
        <f t="shared" si="2"/>
        <v>73.33333333</v>
      </c>
      <c r="G53" s="10">
        <f t="shared" si="5"/>
        <v>34.78571429</v>
      </c>
      <c r="H53" s="10">
        <v>30.0</v>
      </c>
      <c r="I53" s="10">
        <f t="shared" si="3"/>
        <v>64.78571429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8.0" customHeight="1">
      <c r="A54" s="7">
        <v>53.0</v>
      </c>
      <c r="B54" s="8" t="s">
        <v>60</v>
      </c>
      <c r="C54" s="9">
        <v>971.0</v>
      </c>
      <c r="D54" s="10">
        <f t="shared" si="1"/>
        <v>69.35714286</v>
      </c>
      <c r="E54" s="11">
        <v>27.0</v>
      </c>
      <c r="F54" s="10">
        <f t="shared" si="2"/>
        <v>90</v>
      </c>
      <c r="G54" s="10">
        <f t="shared" si="5"/>
        <v>34.67857143</v>
      </c>
      <c r="H54" s="10">
        <v>30.0</v>
      </c>
      <c r="I54" s="10">
        <f t="shared" si="3"/>
        <v>64.67857143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8.0" customHeight="1">
      <c r="A55" s="7">
        <v>54.0</v>
      </c>
      <c r="B55" s="8" t="s">
        <v>61</v>
      </c>
      <c r="C55" s="9">
        <v>858.0</v>
      </c>
      <c r="D55" s="10">
        <f t="shared" si="1"/>
        <v>61.28571429</v>
      </c>
      <c r="E55" s="11">
        <v>24.0</v>
      </c>
      <c r="F55" s="10">
        <f t="shared" si="2"/>
        <v>80</v>
      </c>
      <c r="G55" s="10">
        <f t="shared" si="5"/>
        <v>30.64285714</v>
      </c>
      <c r="H55" s="10">
        <v>34.0</v>
      </c>
      <c r="I55" s="10">
        <f t="shared" si="3"/>
        <v>64.64285714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8.0" customHeight="1">
      <c r="A56" s="7">
        <v>55.0</v>
      </c>
      <c r="B56" s="8" t="s">
        <v>62</v>
      </c>
      <c r="C56" s="9">
        <v>960.0</v>
      </c>
      <c r="D56" s="10">
        <f t="shared" si="1"/>
        <v>68.57142857</v>
      </c>
      <c r="E56" s="11">
        <v>24.0</v>
      </c>
      <c r="F56" s="10">
        <f t="shared" si="2"/>
        <v>80</v>
      </c>
      <c r="G56" s="10">
        <f t="shared" si="5"/>
        <v>34.28571429</v>
      </c>
      <c r="H56" s="10">
        <v>30.0</v>
      </c>
      <c r="I56" s="10">
        <f t="shared" si="3"/>
        <v>64.28571429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8.0" customHeight="1">
      <c r="A57" s="7">
        <v>56.0</v>
      </c>
      <c r="B57" s="8" t="s">
        <v>63</v>
      </c>
      <c r="C57" s="9">
        <v>1142.0</v>
      </c>
      <c r="D57" s="10">
        <f t="shared" si="1"/>
        <v>81.57142857</v>
      </c>
      <c r="E57" s="11">
        <v>12.0</v>
      </c>
      <c r="F57" s="10">
        <f t="shared" si="2"/>
        <v>40</v>
      </c>
      <c r="G57" s="10">
        <f t="shared" si="5"/>
        <v>40.78571429</v>
      </c>
      <c r="H57" s="10">
        <v>23.0</v>
      </c>
      <c r="I57" s="10">
        <f t="shared" si="3"/>
        <v>63.78571429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8.0" customHeight="1">
      <c r="A58" s="7">
        <v>57.0</v>
      </c>
      <c r="B58" s="17" t="s">
        <v>64</v>
      </c>
      <c r="C58" s="9">
        <v>886.0</v>
      </c>
      <c r="D58" s="10">
        <f t="shared" si="1"/>
        <v>63.28571429</v>
      </c>
      <c r="E58" s="11">
        <v>24.0</v>
      </c>
      <c r="F58" s="10">
        <f t="shared" si="2"/>
        <v>80</v>
      </c>
      <c r="G58" s="10">
        <f t="shared" si="5"/>
        <v>31.64285714</v>
      </c>
      <c r="H58" s="10">
        <v>31.0</v>
      </c>
      <c r="I58" s="10">
        <f t="shared" si="3"/>
        <v>62.64285714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8.0" customHeight="1">
      <c r="A59" s="7">
        <v>58.0</v>
      </c>
      <c r="B59" s="8" t="s">
        <v>65</v>
      </c>
      <c r="C59" s="9">
        <v>959.0</v>
      </c>
      <c r="D59" s="10">
        <f t="shared" si="1"/>
        <v>68.5</v>
      </c>
      <c r="E59" s="11">
        <v>19.0</v>
      </c>
      <c r="F59" s="10">
        <f t="shared" si="2"/>
        <v>63.33333333</v>
      </c>
      <c r="G59" s="10">
        <f t="shared" si="5"/>
        <v>34.25</v>
      </c>
      <c r="H59" s="10">
        <v>27.0</v>
      </c>
      <c r="I59" s="10">
        <f t="shared" si="3"/>
        <v>61.25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8.0" customHeight="1">
      <c r="A60" s="7">
        <v>59.0</v>
      </c>
      <c r="B60" s="8" t="s">
        <v>66</v>
      </c>
      <c r="C60" s="9">
        <v>1095.0</v>
      </c>
      <c r="D60" s="10">
        <f t="shared" si="1"/>
        <v>78.21428571</v>
      </c>
      <c r="E60" s="11">
        <v>16.0</v>
      </c>
      <c r="F60" s="10">
        <f t="shared" si="2"/>
        <v>53.33333333</v>
      </c>
      <c r="G60" s="10">
        <f t="shared" si="5"/>
        <v>39.10714286</v>
      </c>
      <c r="H60" s="10">
        <v>22.0</v>
      </c>
      <c r="I60" s="10">
        <f t="shared" si="3"/>
        <v>61.10714286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8.0" customHeight="1">
      <c r="A61" s="7">
        <v>60.0</v>
      </c>
      <c r="B61" s="8" t="s">
        <v>67</v>
      </c>
      <c r="C61" s="9">
        <v>756.0</v>
      </c>
      <c r="D61" s="10">
        <f t="shared" si="1"/>
        <v>54</v>
      </c>
      <c r="E61" s="11">
        <v>28.0</v>
      </c>
      <c r="F61" s="10">
        <f t="shared" si="2"/>
        <v>93.33333333</v>
      </c>
      <c r="G61" s="10">
        <f t="shared" si="5"/>
        <v>27</v>
      </c>
      <c r="H61" s="10">
        <v>34.0</v>
      </c>
      <c r="I61" s="10">
        <f t="shared" si="3"/>
        <v>61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8.0" customHeight="1">
      <c r="A62" s="7">
        <v>61.0</v>
      </c>
      <c r="B62" s="8" t="s">
        <v>68</v>
      </c>
      <c r="C62" s="9">
        <v>817.0</v>
      </c>
      <c r="D62" s="10">
        <f t="shared" si="1"/>
        <v>58.35714286</v>
      </c>
      <c r="E62" s="11">
        <v>26.0</v>
      </c>
      <c r="F62" s="10">
        <f t="shared" si="2"/>
        <v>86.66666667</v>
      </c>
      <c r="G62" s="10">
        <f t="shared" si="5"/>
        <v>29.17857143</v>
      </c>
      <c r="H62" s="10">
        <v>31.0</v>
      </c>
      <c r="I62" s="10">
        <f t="shared" si="3"/>
        <v>60.17857143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8.0" customHeight="1">
      <c r="A63" s="7">
        <v>62.0</v>
      </c>
      <c r="B63" s="8" t="s">
        <v>69</v>
      </c>
      <c r="C63" s="9">
        <v>703.0</v>
      </c>
      <c r="D63" s="10">
        <f t="shared" si="1"/>
        <v>50.21428571</v>
      </c>
      <c r="E63" s="11">
        <v>27.0</v>
      </c>
      <c r="F63" s="10">
        <f t="shared" si="2"/>
        <v>90</v>
      </c>
      <c r="G63" s="10">
        <f t="shared" si="5"/>
        <v>25.10714286</v>
      </c>
      <c r="H63" s="10">
        <v>35.0</v>
      </c>
      <c r="I63" s="10">
        <f t="shared" si="3"/>
        <v>60.10714286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8.0" customHeight="1">
      <c r="A64" s="7">
        <v>63.0</v>
      </c>
      <c r="B64" s="8" t="s">
        <v>70</v>
      </c>
      <c r="C64" s="9">
        <v>1060.0</v>
      </c>
      <c r="D64" s="10">
        <f t="shared" si="1"/>
        <v>75.71428571</v>
      </c>
      <c r="E64" s="11">
        <v>21.0</v>
      </c>
      <c r="F64" s="10">
        <f t="shared" si="2"/>
        <v>70</v>
      </c>
      <c r="G64" s="10">
        <f t="shared" si="5"/>
        <v>37.85714286</v>
      </c>
      <c r="H64" s="10">
        <v>21.0</v>
      </c>
      <c r="I64" s="10">
        <f t="shared" si="3"/>
        <v>58.85714286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8.0" customHeight="1">
      <c r="A65" s="7">
        <v>64.0</v>
      </c>
      <c r="B65" s="8" t="s">
        <v>71</v>
      </c>
      <c r="C65" s="9">
        <v>658.0</v>
      </c>
      <c r="D65" s="10">
        <f t="shared" si="1"/>
        <v>47</v>
      </c>
      <c r="E65" s="11">
        <v>23.0</v>
      </c>
      <c r="F65" s="10">
        <f t="shared" si="2"/>
        <v>76.66666667</v>
      </c>
      <c r="G65" s="10">
        <f t="shared" si="5"/>
        <v>23.5</v>
      </c>
      <c r="H65" s="10">
        <v>35.0</v>
      </c>
      <c r="I65" s="10">
        <f t="shared" si="3"/>
        <v>58.5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8.0" customHeight="1">
      <c r="A66" s="7">
        <v>65.0</v>
      </c>
      <c r="B66" s="18" t="s">
        <v>72</v>
      </c>
      <c r="C66" s="9">
        <v>839.0</v>
      </c>
      <c r="D66" s="10">
        <f t="shared" si="1"/>
        <v>59.92857143</v>
      </c>
      <c r="E66" s="11">
        <v>20.0</v>
      </c>
      <c r="F66" s="10">
        <f t="shared" si="2"/>
        <v>66.66666667</v>
      </c>
      <c r="G66" s="10">
        <f t="shared" si="5"/>
        <v>29.96428571</v>
      </c>
      <c r="H66" s="10">
        <v>28.0</v>
      </c>
      <c r="I66" s="10">
        <f t="shared" si="3"/>
        <v>57.96428571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8.0" customHeight="1">
      <c r="A67" s="7">
        <v>66.0</v>
      </c>
      <c r="B67" s="8" t="s">
        <v>73</v>
      </c>
      <c r="C67" s="9">
        <v>916.0</v>
      </c>
      <c r="D67" s="10">
        <f t="shared" si="1"/>
        <v>65.42857143</v>
      </c>
      <c r="E67" s="11">
        <v>21.0</v>
      </c>
      <c r="F67" s="10">
        <f t="shared" si="2"/>
        <v>70</v>
      </c>
      <c r="G67" s="10">
        <f t="shared" si="5"/>
        <v>32.71428571</v>
      </c>
      <c r="H67" s="10">
        <v>25.0</v>
      </c>
      <c r="I67" s="10">
        <f t="shared" si="3"/>
        <v>57.71428571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8.0" customHeight="1">
      <c r="A68" s="7">
        <v>67.0</v>
      </c>
      <c r="B68" s="8" t="s">
        <v>74</v>
      </c>
      <c r="C68" s="9">
        <v>747.0</v>
      </c>
      <c r="D68" s="10">
        <f t="shared" si="1"/>
        <v>53.35714286</v>
      </c>
      <c r="E68" s="11">
        <v>23.0</v>
      </c>
      <c r="F68" s="10">
        <f t="shared" si="2"/>
        <v>76.66666667</v>
      </c>
      <c r="G68" s="10">
        <f t="shared" si="5"/>
        <v>26.67857143</v>
      </c>
      <c r="H68" s="10">
        <v>31.0</v>
      </c>
      <c r="I68" s="10">
        <f t="shared" si="3"/>
        <v>57.67857143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8.0" customHeight="1">
      <c r="A69" s="7">
        <v>68.0</v>
      </c>
      <c r="B69" s="8" t="s">
        <v>75</v>
      </c>
      <c r="C69" s="9">
        <v>918.0</v>
      </c>
      <c r="D69" s="10">
        <f t="shared" si="1"/>
        <v>65.57142857</v>
      </c>
      <c r="E69" s="11">
        <v>19.0</v>
      </c>
      <c r="F69" s="10">
        <f t="shared" si="2"/>
        <v>63.33333333</v>
      </c>
      <c r="G69" s="10">
        <f t="shared" si="5"/>
        <v>32.78571429</v>
      </c>
      <c r="H69" s="10">
        <v>24.0</v>
      </c>
      <c r="I69" s="10">
        <f t="shared" si="3"/>
        <v>56.78571429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8.0" customHeight="1">
      <c r="A70" s="7">
        <v>69.0</v>
      </c>
      <c r="B70" s="18" t="s">
        <v>76</v>
      </c>
      <c r="C70" s="9">
        <v>675.0</v>
      </c>
      <c r="D70" s="10">
        <f t="shared" si="1"/>
        <v>48.21428571</v>
      </c>
      <c r="E70" s="11">
        <v>13.0</v>
      </c>
      <c r="F70" s="10">
        <f t="shared" si="2"/>
        <v>43.33333333</v>
      </c>
      <c r="G70" s="10">
        <f t="shared" si="5"/>
        <v>24.10714286</v>
      </c>
      <c r="H70" s="10">
        <v>31.0</v>
      </c>
      <c r="I70" s="10">
        <f t="shared" si="3"/>
        <v>55.10714286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8.0" customHeight="1">
      <c r="A71" s="7">
        <v>70.0</v>
      </c>
      <c r="B71" s="8" t="s">
        <v>77</v>
      </c>
      <c r="C71" s="9">
        <v>725.0</v>
      </c>
      <c r="D71" s="10">
        <f t="shared" si="1"/>
        <v>51.78571429</v>
      </c>
      <c r="E71" s="11">
        <v>13.0</v>
      </c>
      <c r="F71" s="10">
        <f t="shared" si="2"/>
        <v>43.33333333</v>
      </c>
      <c r="G71" s="10">
        <f t="shared" si="5"/>
        <v>25.89285714</v>
      </c>
      <c r="H71" s="10">
        <v>29.0</v>
      </c>
      <c r="I71" s="10">
        <f t="shared" si="3"/>
        <v>54.89285714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8.0" customHeight="1">
      <c r="A72" s="7">
        <v>71.0</v>
      </c>
      <c r="B72" s="8" t="s">
        <v>78</v>
      </c>
      <c r="C72" s="9">
        <v>756.0</v>
      </c>
      <c r="D72" s="10">
        <f t="shared" si="1"/>
        <v>54</v>
      </c>
      <c r="E72" s="11">
        <v>4.0</v>
      </c>
      <c r="F72" s="10">
        <f t="shared" si="2"/>
        <v>13.33333333</v>
      </c>
      <c r="G72" s="10">
        <f t="shared" si="5"/>
        <v>27</v>
      </c>
      <c r="H72" s="10">
        <v>25.0</v>
      </c>
      <c r="I72" s="10">
        <f t="shared" si="3"/>
        <v>52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8.0" customHeight="1">
      <c r="A73" s="7">
        <v>72.0</v>
      </c>
      <c r="B73" s="8" t="s">
        <v>79</v>
      </c>
      <c r="C73" s="9">
        <v>608.0</v>
      </c>
      <c r="D73" s="10">
        <f t="shared" si="1"/>
        <v>43.42857143</v>
      </c>
      <c r="E73" s="11">
        <v>26.0</v>
      </c>
      <c r="F73" s="10">
        <f t="shared" si="2"/>
        <v>86.66666667</v>
      </c>
      <c r="G73" s="10">
        <f t="shared" si="5"/>
        <v>21.71428571</v>
      </c>
      <c r="H73" s="10">
        <v>29.0</v>
      </c>
      <c r="I73" s="10">
        <f t="shared" si="3"/>
        <v>50.71428571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8.0" customHeight="1">
      <c r="A74" s="7">
        <v>73.0</v>
      </c>
      <c r="B74" s="8" t="s">
        <v>80</v>
      </c>
      <c r="C74" s="9">
        <v>542.0</v>
      </c>
      <c r="D74" s="10">
        <f t="shared" si="1"/>
        <v>38.71428571</v>
      </c>
      <c r="E74" s="11">
        <v>18.0</v>
      </c>
      <c r="F74" s="10">
        <f t="shared" si="2"/>
        <v>60</v>
      </c>
      <c r="G74" s="10">
        <f t="shared" si="5"/>
        <v>19.35714286</v>
      </c>
      <c r="H74" s="10">
        <v>31.0</v>
      </c>
      <c r="I74" s="10">
        <f t="shared" si="3"/>
        <v>50.35714286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8.0" customHeight="1">
      <c r="A75" s="7">
        <v>74.0</v>
      </c>
      <c r="B75" s="8" t="s">
        <v>81</v>
      </c>
      <c r="C75" s="9">
        <v>646.0</v>
      </c>
      <c r="D75" s="10">
        <f t="shared" si="1"/>
        <v>46.14285714</v>
      </c>
      <c r="E75" s="11">
        <v>14.0</v>
      </c>
      <c r="F75" s="10">
        <f t="shared" si="2"/>
        <v>46.66666667</v>
      </c>
      <c r="G75" s="10">
        <f t="shared" si="5"/>
        <v>23.07142857</v>
      </c>
      <c r="H75" s="10">
        <v>22.0</v>
      </c>
      <c r="I75" s="10">
        <f t="shared" si="3"/>
        <v>45.07142857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19"/>
      <c r="B76" s="19"/>
      <c r="C76" s="20"/>
      <c r="D76" s="20"/>
      <c r="E76" s="20"/>
      <c r="F76" s="20"/>
      <c r="G76" s="21"/>
      <c r="H76" s="21"/>
    </row>
    <row r="77" ht="15.75" customHeight="1">
      <c r="H77" s="22"/>
    </row>
    <row r="78" ht="15.75" customHeight="1">
      <c r="H78" s="22"/>
    </row>
    <row r="79" ht="15.75" customHeight="1">
      <c r="H79" s="22"/>
    </row>
    <row r="80" ht="15.75" customHeight="1">
      <c r="H80" s="22"/>
    </row>
    <row r="81" ht="15.75" customHeight="1">
      <c r="H81" s="22"/>
    </row>
    <row r="82" ht="15.75" customHeight="1">
      <c r="H82" s="22"/>
    </row>
    <row r="83" ht="15.75" customHeight="1">
      <c r="H83" s="22"/>
    </row>
    <row r="84" ht="15.75" customHeight="1">
      <c r="H84" s="22"/>
    </row>
    <row r="85" ht="15.75" customHeight="1">
      <c r="H85" s="22"/>
    </row>
    <row r="86" ht="15.75" customHeight="1">
      <c r="H86" s="22"/>
    </row>
    <row r="87" ht="15.75" customHeight="1">
      <c r="H87" s="22"/>
    </row>
    <row r="88" ht="15.75" customHeight="1">
      <c r="H88" s="22"/>
    </row>
    <row r="89" ht="15.75" customHeight="1">
      <c r="H89" s="22"/>
    </row>
    <row r="90" ht="15.75" customHeight="1">
      <c r="H90" s="22"/>
    </row>
    <row r="91" ht="15.75" customHeight="1">
      <c r="H91" s="22"/>
    </row>
    <row r="92" ht="15.75" customHeight="1">
      <c r="H92" s="22"/>
    </row>
    <row r="93" ht="15.75" customHeight="1">
      <c r="H93" s="22"/>
    </row>
    <row r="94" ht="15.75" customHeight="1">
      <c r="H94" s="22"/>
    </row>
    <row r="95" ht="15.75" customHeight="1">
      <c r="H95" s="22"/>
    </row>
    <row r="96" ht="15.75" customHeight="1">
      <c r="H96" s="22"/>
    </row>
    <row r="97" ht="15.75" customHeight="1">
      <c r="H97" s="22"/>
    </row>
    <row r="98" ht="15.75" customHeight="1">
      <c r="H98" s="22"/>
    </row>
    <row r="99" ht="15.75" customHeight="1">
      <c r="H99" s="22"/>
    </row>
    <row r="100" ht="15.75" customHeight="1">
      <c r="H100" s="22"/>
    </row>
    <row r="101" ht="15.75" customHeight="1">
      <c r="H101" s="22"/>
    </row>
    <row r="102" ht="15.75" customHeight="1">
      <c r="H102" s="22"/>
    </row>
    <row r="103" ht="15.75" customHeight="1">
      <c r="H103" s="22"/>
    </row>
    <row r="104" ht="15.75" customHeight="1">
      <c r="H104" s="22"/>
    </row>
    <row r="105" ht="15.75" customHeight="1">
      <c r="H105" s="22"/>
    </row>
    <row r="106" ht="15.75" customHeight="1">
      <c r="H106" s="22"/>
    </row>
    <row r="107" ht="15.75" customHeight="1">
      <c r="H107" s="22"/>
    </row>
    <row r="108" ht="15.75" customHeight="1">
      <c r="H108" s="22"/>
    </row>
    <row r="109" ht="15.75" customHeight="1">
      <c r="H109" s="22"/>
    </row>
    <row r="110" ht="15.75" customHeight="1">
      <c r="H110" s="22"/>
    </row>
    <row r="111" ht="15.75" customHeight="1">
      <c r="H111" s="22"/>
    </row>
    <row r="112" ht="15.75" customHeight="1">
      <c r="H112" s="22"/>
    </row>
    <row r="113" ht="15.75" customHeight="1">
      <c r="H113" s="22"/>
    </row>
    <row r="114" ht="15.75" customHeight="1">
      <c r="H114" s="22"/>
    </row>
    <row r="115" ht="15.75" customHeight="1">
      <c r="H115" s="22"/>
    </row>
    <row r="116" ht="15.75" customHeight="1">
      <c r="H116" s="22"/>
    </row>
    <row r="117" ht="15.75" customHeight="1">
      <c r="H117" s="22"/>
    </row>
    <row r="118" ht="15.75" customHeight="1">
      <c r="H118" s="22"/>
    </row>
    <row r="119" ht="15.75" customHeight="1">
      <c r="H119" s="22"/>
    </row>
    <row r="120" ht="15.75" customHeight="1">
      <c r="H120" s="22"/>
    </row>
    <row r="121" ht="15.75" customHeight="1">
      <c r="H121" s="22"/>
    </row>
    <row r="122" ht="15.75" customHeight="1">
      <c r="H122" s="22"/>
    </row>
    <row r="123" ht="15.75" customHeight="1">
      <c r="H123" s="22"/>
    </row>
    <row r="124" ht="15.75" customHeight="1">
      <c r="H124" s="22"/>
    </row>
    <row r="125" ht="15.75" customHeight="1">
      <c r="H125" s="22"/>
    </row>
    <row r="126" ht="15.75" customHeight="1">
      <c r="H126" s="22"/>
    </row>
    <row r="127" ht="15.75" customHeight="1">
      <c r="H127" s="22"/>
    </row>
    <row r="128" ht="15.75" customHeight="1">
      <c r="H128" s="22"/>
    </row>
    <row r="129" ht="15.75" customHeight="1">
      <c r="H129" s="22"/>
    </row>
    <row r="130" ht="15.75" customHeight="1">
      <c r="H130" s="22"/>
    </row>
    <row r="131" ht="15.75" customHeight="1">
      <c r="H131" s="22"/>
    </row>
    <row r="132" ht="15.75" customHeight="1">
      <c r="H132" s="22"/>
    </row>
    <row r="133" ht="15.75" customHeight="1">
      <c r="H133" s="22"/>
    </row>
    <row r="134" ht="15.75" customHeight="1">
      <c r="H134" s="22"/>
    </row>
    <row r="135" ht="15.75" customHeight="1">
      <c r="H135" s="22"/>
    </row>
    <row r="136" ht="15.75" customHeight="1">
      <c r="H136" s="22"/>
    </row>
    <row r="137" ht="15.75" customHeight="1">
      <c r="H137" s="22"/>
    </row>
    <row r="138" ht="15.75" customHeight="1">
      <c r="H138" s="22"/>
    </row>
    <row r="139" ht="15.75" customHeight="1">
      <c r="H139" s="22"/>
    </row>
    <row r="140" ht="15.75" customHeight="1">
      <c r="H140" s="22"/>
    </row>
    <row r="141" ht="15.75" customHeight="1">
      <c r="H141" s="22"/>
    </row>
    <row r="142" ht="15.75" customHeight="1">
      <c r="H142" s="22"/>
    </row>
    <row r="143" ht="15.75" customHeight="1">
      <c r="H143" s="22"/>
    </row>
    <row r="144" ht="15.75" customHeight="1">
      <c r="H144" s="22"/>
    </row>
    <row r="145" ht="15.75" customHeight="1">
      <c r="H145" s="22"/>
    </row>
    <row r="146" ht="15.75" customHeight="1">
      <c r="H146" s="22"/>
    </row>
    <row r="147" ht="15.75" customHeight="1">
      <c r="H147" s="22"/>
    </row>
    <row r="148" ht="15.75" customHeight="1">
      <c r="H148" s="22"/>
    </row>
    <row r="149" ht="15.75" customHeight="1">
      <c r="H149" s="22"/>
    </row>
    <row r="150" ht="15.75" customHeight="1">
      <c r="H150" s="22"/>
    </row>
    <row r="151" ht="15.75" customHeight="1">
      <c r="H151" s="22"/>
    </row>
    <row r="152" ht="15.75" customHeight="1">
      <c r="H152" s="22"/>
    </row>
    <row r="153" ht="15.75" customHeight="1">
      <c r="H153" s="22"/>
    </row>
    <row r="154" ht="15.75" customHeight="1">
      <c r="H154" s="22"/>
    </row>
    <row r="155" ht="15.75" customHeight="1">
      <c r="H155" s="22"/>
    </row>
    <row r="156" ht="15.75" customHeight="1">
      <c r="H156" s="22"/>
    </row>
    <row r="157" ht="15.75" customHeight="1">
      <c r="H157" s="22"/>
    </row>
    <row r="158" ht="15.75" customHeight="1">
      <c r="H158" s="22"/>
    </row>
    <row r="159" ht="15.75" customHeight="1">
      <c r="H159" s="22"/>
    </row>
    <row r="160" ht="15.75" customHeight="1">
      <c r="H160" s="22"/>
    </row>
    <row r="161" ht="15.75" customHeight="1">
      <c r="H161" s="22"/>
    </row>
    <row r="162" ht="15.75" customHeight="1">
      <c r="H162" s="22"/>
    </row>
    <row r="163" ht="15.75" customHeight="1">
      <c r="H163" s="22"/>
    </row>
    <row r="164" ht="15.75" customHeight="1">
      <c r="H164" s="22"/>
    </row>
    <row r="165" ht="15.75" customHeight="1">
      <c r="H165" s="22"/>
    </row>
    <row r="166" ht="15.75" customHeight="1">
      <c r="H166" s="22"/>
    </row>
    <row r="167" ht="15.75" customHeight="1">
      <c r="H167" s="22"/>
    </row>
    <row r="168" ht="15.75" customHeight="1">
      <c r="H168" s="22"/>
    </row>
    <row r="169" ht="15.75" customHeight="1">
      <c r="H169" s="22"/>
    </row>
    <row r="170" ht="15.75" customHeight="1">
      <c r="H170" s="22"/>
    </row>
    <row r="171" ht="15.75" customHeight="1">
      <c r="H171" s="22"/>
    </row>
    <row r="172" ht="15.75" customHeight="1">
      <c r="H172" s="22"/>
    </row>
    <row r="173" ht="15.75" customHeight="1">
      <c r="H173" s="22"/>
    </row>
    <row r="174" ht="15.75" customHeight="1">
      <c r="H174" s="22"/>
    </row>
    <row r="175" ht="15.75" customHeight="1">
      <c r="H175" s="22"/>
    </row>
    <row r="176" ht="15.75" customHeight="1">
      <c r="H176" s="22"/>
    </row>
    <row r="177" ht="15.75" customHeight="1">
      <c r="H177" s="22"/>
    </row>
    <row r="178" ht="15.75" customHeight="1">
      <c r="H178" s="22"/>
    </row>
    <row r="179" ht="15.75" customHeight="1">
      <c r="H179" s="22"/>
    </row>
    <row r="180" ht="15.75" customHeight="1">
      <c r="H180" s="22"/>
    </row>
    <row r="181" ht="15.75" customHeight="1">
      <c r="H181" s="22"/>
    </row>
    <row r="182" ht="15.75" customHeight="1">
      <c r="H182" s="22"/>
    </row>
    <row r="183" ht="15.75" customHeight="1">
      <c r="H183" s="22"/>
    </row>
    <row r="184" ht="15.75" customHeight="1">
      <c r="H184" s="22"/>
    </row>
    <row r="185" ht="15.75" customHeight="1">
      <c r="H185" s="22"/>
    </row>
    <row r="186" ht="15.75" customHeight="1">
      <c r="H186" s="22"/>
    </row>
    <row r="187" ht="15.75" customHeight="1">
      <c r="H187" s="22"/>
    </row>
    <row r="188" ht="15.75" customHeight="1">
      <c r="H188" s="22"/>
    </row>
    <row r="189" ht="15.75" customHeight="1">
      <c r="H189" s="22"/>
    </row>
    <row r="190" ht="15.75" customHeight="1">
      <c r="H190" s="22"/>
    </row>
    <row r="191" ht="15.75" customHeight="1">
      <c r="H191" s="22"/>
    </row>
    <row r="192" ht="15.75" customHeight="1">
      <c r="H192" s="22"/>
    </row>
    <row r="193" ht="15.75" customHeight="1">
      <c r="H193" s="22"/>
    </row>
    <row r="194" ht="15.75" customHeight="1">
      <c r="H194" s="22"/>
    </row>
    <row r="195" ht="15.75" customHeight="1">
      <c r="H195" s="22"/>
    </row>
    <row r="196" ht="15.75" customHeight="1">
      <c r="H196" s="22"/>
    </row>
    <row r="197" ht="15.75" customHeight="1">
      <c r="H197" s="22"/>
    </row>
    <row r="198" ht="15.75" customHeight="1">
      <c r="H198" s="22"/>
    </row>
    <row r="199" ht="15.75" customHeight="1">
      <c r="H199" s="22"/>
    </row>
    <row r="200" ht="15.75" customHeight="1">
      <c r="H200" s="22"/>
    </row>
    <row r="201" ht="15.75" customHeight="1">
      <c r="H201" s="22"/>
    </row>
    <row r="202" ht="15.75" customHeight="1">
      <c r="H202" s="22"/>
    </row>
    <row r="203" ht="15.75" customHeight="1">
      <c r="H203" s="22"/>
    </row>
    <row r="204" ht="15.75" customHeight="1">
      <c r="H204" s="22"/>
    </row>
    <row r="205" ht="15.75" customHeight="1">
      <c r="H205" s="22"/>
    </row>
    <row r="206" ht="15.75" customHeight="1">
      <c r="H206" s="22"/>
    </row>
    <row r="207" ht="15.75" customHeight="1">
      <c r="H207" s="22"/>
    </row>
    <row r="208" ht="15.75" customHeight="1">
      <c r="H208" s="22"/>
    </row>
    <row r="209" ht="15.75" customHeight="1">
      <c r="H209" s="22"/>
    </row>
    <row r="210" ht="15.75" customHeight="1">
      <c r="H210" s="22"/>
    </row>
    <row r="211" ht="15.75" customHeight="1">
      <c r="H211" s="22"/>
    </row>
    <row r="212" ht="15.75" customHeight="1">
      <c r="H212" s="22"/>
    </row>
    <row r="213" ht="15.75" customHeight="1">
      <c r="H213" s="22"/>
    </row>
    <row r="214" ht="15.75" customHeight="1">
      <c r="H214" s="22"/>
    </row>
    <row r="215" ht="15.75" customHeight="1">
      <c r="H215" s="22"/>
    </row>
    <row r="216" ht="15.75" customHeight="1">
      <c r="H216" s="22"/>
    </row>
    <row r="217" ht="15.75" customHeight="1">
      <c r="H217" s="22"/>
    </row>
    <row r="218" ht="15.75" customHeight="1">
      <c r="H218" s="22"/>
    </row>
    <row r="219" ht="15.75" customHeight="1">
      <c r="H219" s="22"/>
    </row>
    <row r="220" ht="15.75" customHeight="1">
      <c r="H220" s="22"/>
    </row>
    <row r="221" ht="15.75" customHeight="1">
      <c r="H221" s="22"/>
    </row>
    <row r="222" ht="15.75" customHeight="1">
      <c r="H222" s="22"/>
    </row>
    <row r="223" ht="15.75" customHeight="1">
      <c r="H223" s="22"/>
    </row>
    <row r="224" ht="15.75" customHeight="1">
      <c r="H224" s="22"/>
    </row>
    <row r="225" ht="15.75" customHeight="1">
      <c r="H225" s="22"/>
    </row>
    <row r="226" ht="15.75" customHeight="1">
      <c r="H226" s="22"/>
    </row>
    <row r="227" ht="15.75" customHeight="1">
      <c r="H227" s="22"/>
    </row>
    <row r="228" ht="15.75" customHeight="1">
      <c r="H228" s="22"/>
    </row>
    <row r="229" ht="15.75" customHeight="1">
      <c r="H229" s="22"/>
    </row>
    <row r="230" ht="15.75" customHeight="1">
      <c r="H230" s="22"/>
    </row>
    <row r="231" ht="15.75" customHeight="1">
      <c r="H231" s="22"/>
    </row>
    <row r="232" ht="15.75" customHeight="1">
      <c r="H232" s="22"/>
    </row>
    <row r="233" ht="15.75" customHeight="1">
      <c r="H233" s="22"/>
    </row>
    <row r="234" ht="15.75" customHeight="1">
      <c r="H234" s="22"/>
    </row>
    <row r="235" ht="15.75" customHeight="1">
      <c r="H235" s="22"/>
    </row>
    <row r="236" ht="15.75" customHeight="1">
      <c r="H236" s="22"/>
    </row>
    <row r="237" ht="15.75" customHeight="1">
      <c r="H237" s="22"/>
    </row>
    <row r="238" ht="15.75" customHeight="1">
      <c r="H238" s="22"/>
    </row>
    <row r="239" ht="15.75" customHeight="1">
      <c r="H239" s="22"/>
    </row>
    <row r="240" ht="15.75" customHeight="1">
      <c r="H240" s="22"/>
    </row>
    <row r="241" ht="15.75" customHeight="1">
      <c r="H241" s="22"/>
    </row>
    <row r="242" ht="15.75" customHeight="1">
      <c r="H242" s="22"/>
    </row>
    <row r="243" ht="15.75" customHeight="1">
      <c r="H243" s="22"/>
    </row>
    <row r="244" ht="15.75" customHeight="1">
      <c r="H244" s="22"/>
    </row>
    <row r="245" ht="15.75" customHeight="1">
      <c r="H245" s="22"/>
    </row>
    <row r="246" ht="15.75" customHeight="1">
      <c r="H246" s="22"/>
    </row>
    <row r="247" ht="15.75" customHeight="1">
      <c r="H247" s="22"/>
    </row>
    <row r="248" ht="15.75" customHeight="1">
      <c r="H248" s="22"/>
    </row>
    <row r="249" ht="15.75" customHeight="1">
      <c r="H249" s="22"/>
    </row>
    <row r="250" ht="15.75" customHeight="1">
      <c r="H250" s="22"/>
    </row>
    <row r="251" ht="15.75" customHeight="1">
      <c r="H251" s="22"/>
    </row>
    <row r="252" ht="15.75" customHeight="1">
      <c r="H252" s="22"/>
    </row>
    <row r="253" ht="15.75" customHeight="1">
      <c r="H253" s="22"/>
    </row>
    <row r="254" ht="15.75" customHeight="1">
      <c r="H254" s="22"/>
    </row>
    <row r="255" ht="15.75" customHeight="1">
      <c r="H255" s="22"/>
    </row>
    <row r="256" ht="15.75" customHeight="1">
      <c r="H256" s="22"/>
    </row>
    <row r="257" ht="15.75" customHeight="1">
      <c r="H257" s="22"/>
    </row>
    <row r="258" ht="15.75" customHeight="1">
      <c r="H258" s="22"/>
    </row>
    <row r="259" ht="15.75" customHeight="1">
      <c r="H259" s="22"/>
    </row>
    <row r="260" ht="15.75" customHeight="1">
      <c r="H260" s="22"/>
    </row>
    <row r="261" ht="15.75" customHeight="1">
      <c r="H261" s="22"/>
    </row>
    <row r="262" ht="15.75" customHeight="1">
      <c r="H262" s="22"/>
    </row>
    <row r="263" ht="15.75" customHeight="1">
      <c r="H263" s="22"/>
    </row>
    <row r="264" ht="15.75" customHeight="1">
      <c r="H264" s="22"/>
    </row>
    <row r="265" ht="15.75" customHeight="1">
      <c r="H265" s="22"/>
    </row>
    <row r="266" ht="15.75" customHeight="1">
      <c r="H266" s="22"/>
    </row>
    <row r="267" ht="15.75" customHeight="1">
      <c r="H267" s="22"/>
    </row>
    <row r="268" ht="15.75" customHeight="1">
      <c r="H268" s="22"/>
    </row>
    <row r="269" ht="15.75" customHeight="1">
      <c r="H269" s="22"/>
    </row>
    <row r="270" ht="15.75" customHeight="1">
      <c r="H270" s="22"/>
    </row>
    <row r="271" ht="15.75" customHeight="1">
      <c r="H271" s="22"/>
    </row>
    <row r="272" ht="15.75" customHeight="1">
      <c r="H272" s="22"/>
    </row>
    <row r="273" ht="15.75" customHeight="1">
      <c r="H273" s="22"/>
    </row>
    <row r="274" ht="15.75" customHeight="1">
      <c r="H274" s="22"/>
    </row>
    <row r="275" ht="15.75" customHeight="1">
      <c r="H275" s="22"/>
    </row>
    <row r="276" ht="15.75" customHeight="1">
      <c r="H276" s="22"/>
    </row>
    <row r="277" ht="15.75" customHeight="1">
      <c r="H277" s="22"/>
    </row>
    <row r="278" ht="15.75" customHeight="1">
      <c r="H278" s="22"/>
    </row>
    <row r="279" ht="15.75" customHeight="1">
      <c r="H279" s="22"/>
    </row>
    <row r="280" ht="15.75" customHeight="1">
      <c r="H280" s="22"/>
    </row>
    <row r="281" ht="15.75" customHeight="1">
      <c r="H281" s="22"/>
    </row>
    <row r="282" ht="15.75" customHeight="1">
      <c r="H282" s="22"/>
    </row>
    <row r="283" ht="15.75" customHeight="1">
      <c r="H283" s="22"/>
    </row>
    <row r="284" ht="15.75" customHeight="1">
      <c r="H284" s="22"/>
    </row>
    <row r="285" ht="15.75" customHeight="1">
      <c r="H285" s="22"/>
    </row>
    <row r="286" ht="15.75" customHeight="1">
      <c r="H286" s="22"/>
    </row>
    <row r="287" ht="15.75" customHeight="1">
      <c r="H287" s="22"/>
    </row>
    <row r="288" ht="15.75" customHeight="1">
      <c r="H288" s="22"/>
    </row>
    <row r="289" ht="15.75" customHeight="1">
      <c r="H289" s="22"/>
    </row>
    <row r="290" ht="15.75" customHeight="1">
      <c r="H290" s="22"/>
    </row>
    <row r="291" ht="15.75" customHeight="1">
      <c r="H291" s="22"/>
    </row>
    <row r="292" ht="15.75" customHeight="1">
      <c r="H292" s="22"/>
    </row>
    <row r="293" ht="15.75" customHeight="1">
      <c r="H293" s="22"/>
    </row>
    <row r="294" ht="15.75" customHeight="1">
      <c r="H294" s="22"/>
    </row>
    <row r="295" ht="15.75" customHeight="1">
      <c r="H295" s="22"/>
    </row>
    <row r="296" ht="15.75" customHeight="1">
      <c r="H296" s="22"/>
    </row>
    <row r="297" ht="15.75" customHeight="1">
      <c r="H297" s="22"/>
    </row>
    <row r="298" ht="15.75" customHeight="1">
      <c r="H298" s="22"/>
    </row>
    <row r="299" ht="15.75" customHeight="1">
      <c r="H299" s="22"/>
    </row>
    <row r="300" ht="15.75" customHeight="1">
      <c r="H300" s="22"/>
    </row>
    <row r="301" ht="15.75" customHeight="1">
      <c r="H301" s="22"/>
    </row>
    <row r="302" ht="15.75" customHeight="1">
      <c r="H302" s="22"/>
    </row>
    <row r="303" ht="15.75" customHeight="1">
      <c r="H303" s="22"/>
    </row>
    <row r="304" ht="15.75" customHeight="1">
      <c r="H304" s="22"/>
    </row>
    <row r="305" ht="15.75" customHeight="1">
      <c r="H305" s="22"/>
    </row>
    <row r="306" ht="15.75" customHeight="1">
      <c r="H306" s="22"/>
    </row>
    <row r="307" ht="15.75" customHeight="1">
      <c r="H307" s="22"/>
    </row>
    <row r="308" ht="15.75" customHeight="1">
      <c r="H308" s="22"/>
    </row>
    <row r="309" ht="15.75" customHeight="1">
      <c r="H309" s="22"/>
    </row>
    <row r="310" ht="15.75" customHeight="1">
      <c r="H310" s="22"/>
    </row>
    <row r="311" ht="15.75" customHeight="1">
      <c r="H311" s="22"/>
    </row>
    <row r="312" ht="15.75" customHeight="1">
      <c r="H312" s="22"/>
    </row>
    <row r="313" ht="15.75" customHeight="1">
      <c r="H313" s="22"/>
    </row>
    <row r="314" ht="15.75" customHeight="1">
      <c r="H314" s="22"/>
    </row>
    <row r="315" ht="15.75" customHeight="1">
      <c r="H315" s="22"/>
    </row>
    <row r="316" ht="15.75" customHeight="1">
      <c r="H316" s="22"/>
    </row>
    <row r="317" ht="15.75" customHeight="1">
      <c r="H317" s="22"/>
    </row>
    <row r="318" ht="15.75" customHeight="1">
      <c r="H318" s="22"/>
    </row>
    <row r="319" ht="15.75" customHeight="1">
      <c r="H319" s="22"/>
    </row>
    <row r="320" ht="15.75" customHeight="1">
      <c r="H320" s="22"/>
    </row>
    <row r="321" ht="15.75" customHeight="1">
      <c r="H321" s="22"/>
    </row>
    <row r="322" ht="15.75" customHeight="1">
      <c r="H322" s="22"/>
    </row>
    <row r="323" ht="15.75" customHeight="1">
      <c r="H323" s="22"/>
    </row>
    <row r="324" ht="15.75" customHeight="1">
      <c r="H324" s="22"/>
    </row>
    <row r="325" ht="15.75" customHeight="1">
      <c r="H325" s="22"/>
    </row>
    <row r="326" ht="15.75" customHeight="1">
      <c r="H326" s="22"/>
    </row>
    <row r="327" ht="15.75" customHeight="1">
      <c r="H327" s="22"/>
    </row>
    <row r="328" ht="15.75" customHeight="1">
      <c r="H328" s="22"/>
    </row>
    <row r="329" ht="15.75" customHeight="1">
      <c r="H329" s="22"/>
    </row>
    <row r="330" ht="15.75" customHeight="1">
      <c r="H330" s="22"/>
    </row>
    <row r="331" ht="15.75" customHeight="1">
      <c r="H331" s="22"/>
    </row>
    <row r="332" ht="15.75" customHeight="1">
      <c r="H332" s="22"/>
    </row>
    <row r="333" ht="15.75" customHeight="1">
      <c r="H333" s="22"/>
    </row>
    <row r="334" ht="15.75" customHeight="1">
      <c r="H334" s="22"/>
    </row>
    <row r="335" ht="15.75" customHeight="1">
      <c r="H335" s="22"/>
    </row>
    <row r="336" ht="15.75" customHeight="1">
      <c r="H336" s="22"/>
    </row>
    <row r="337" ht="15.75" customHeight="1">
      <c r="H337" s="22"/>
    </row>
    <row r="338" ht="15.75" customHeight="1">
      <c r="H338" s="22"/>
    </row>
    <row r="339" ht="15.75" customHeight="1">
      <c r="H339" s="22"/>
    </row>
    <row r="340" ht="15.75" customHeight="1">
      <c r="H340" s="22"/>
    </row>
    <row r="341" ht="15.75" customHeight="1">
      <c r="H341" s="22"/>
    </row>
    <row r="342" ht="15.75" customHeight="1">
      <c r="H342" s="22"/>
    </row>
    <row r="343" ht="15.75" customHeight="1">
      <c r="H343" s="22"/>
    </row>
    <row r="344" ht="15.75" customHeight="1">
      <c r="H344" s="22"/>
    </row>
    <row r="345" ht="15.75" customHeight="1">
      <c r="H345" s="22"/>
    </row>
    <row r="346" ht="15.75" customHeight="1">
      <c r="H346" s="22"/>
    </row>
    <row r="347" ht="15.75" customHeight="1">
      <c r="H347" s="22"/>
    </row>
    <row r="348" ht="15.75" customHeight="1">
      <c r="H348" s="22"/>
    </row>
    <row r="349" ht="15.75" customHeight="1">
      <c r="H349" s="22"/>
    </row>
    <row r="350" ht="15.75" customHeight="1">
      <c r="H350" s="22"/>
    </row>
    <row r="351" ht="15.75" customHeight="1">
      <c r="H351" s="22"/>
    </row>
    <row r="352" ht="15.75" customHeight="1">
      <c r="H352" s="22"/>
    </row>
    <row r="353" ht="15.75" customHeight="1">
      <c r="H353" s="22"/>
    </row>
    <row r="354" ht="15.75" customHeight="1">
      <c r="H354" s="22"/>
    </row>
    <row r="355" ht="15.75" customHeight="1">
      <c r="H355" s="22"/>
    </row>
    <row r="356" ht="15.75" customHeight="1">
      <c r="H356" s="22"/>
    </row>
    <row r="357" ht="15.75" customHeight="1">
      <c r="H357" s="22"/>
    </row>
    <row r="358" ht="15.75" customHeight="1">
      <c r="H358" s="22"/>
    </row>
    <row r="359" ht="15.75" customHeight="1">
      <c r="H359" s="22"/>
    </row>
    <row r="360" ht="15.75" customHeight="1">
      <c r="H360" s="22"/>
    </row>
    <row r="361" ht="15.75" customHeight="1">
      <c r="H361" s="22"/>
    </row>
    <row r="362" ht="15.75" customHeight="1">
      <c r="H362" s="22"/>
    </row>
    <row r="363" ht="15.75" customHeight="1">
      <c r="H363" s="22"/>
    </row>
    <row r="364" ht="15.75" customHeight="1">
      <c r="H364" s="22"/>
    </row>
    <row r="365" ht="15.75" customHeight="1">
      <c r="H365" s="22"/>
    </row>
    <row r="366" ht="15.75" customHeight="1">
      <c r="H366" s="22"/>
    </row>
    <row r="367" ht="15.75" customHeight="1">
      <c r="H367" s="22"/>
    </row>
    <row r="368" ht="15.75" customHeight="1">
      <c r="H368" s="22"/>
    </row>
    <row r="369" ht="15.75" customHeight="1">
      <c r="H369" s="22"/>
    </row>
    <row r="370" ht="15.75" customHeight="1">
      <c r="H370" s="22"/>
    </row>
    <row r="371" ht="15.75" customHeight="1">
      <c r="H371" s="22"/>
    </row>
    <row r="372" ht="15.75" customHeight="1">
      <c r="H372" s="22"/>
    </row>
    <row r="373" ht="15.75" customHeight="1">
      <c r="H373" s="22"/>
    </row>
    <row r="374" ht="15.75" customHeight="1">
      <c r="H374" s="22"/>
    </row>
    <row r="375" ht="15.75" customHeight="1">
      <c r="H375" s="22"/>
    </row>
    <row r="376" ht="15.75" customHeight="1">
      <c r="H376" s="22"/>
    </row>
    <row r="377" ht="15.75" customHeight="1">
      <c r="H377" s="22"/>
    </row>
    <row r="378" ht="15.75" customHeight="1">
      <c r="H378" s="22"/>
    </row>
    <row r="379" ht="15.75" customHeight="1">
      <c r="H379" s="22"/>
    </row>
    <row r="380" ht="15.75" customHeight="1">
      <c r="H380" s="22"/>
    </row>
    <row r="381" ht="15.75" customHeight="1">
      <c r="H381" s="22"/>
    </row>
    <row r="382" ht="15.75" customHeight="1">
      <c r="H382" s="22"/>
    </row>
    <row r="383" ht="15.75" customHeight="1">
      <c r="H383" s="22"/>
    </row>
    <row r="384" ht="15.75" customHeight="1">
      <c r="H384" s="22"/>
    </row>
    <row r="385" ht="15.75" customHeight="1">
      <c r="H385" s="22"/>
    </row>
    <row r="386" ht="15.75" customHeight="1">
      <c r="H386" s="22"/>
    </row>
    <row r="387" ht="15.75" customHeight="1">
      <c r="H387" s="22"/>
    </row>
    <row r="388" ht="15.75" customHeight="1">
      <c r="H388" s="22"/>
    </row>
    <row r="389" ht="15.75" customHeight="1">
      <c r="H389" s="22"/>
    </row>
    <row r="390" ht="15.75" customHeight="1">
      <c r="H390" s="22"/>
    </row>
    <row r="391" ht="15.75" customHeight="1">
      <c r="H391" s="22"/>
    </row>
    <row r="392" ht="15.75" customHeight="1">
      <c r="H392" s="22"/>
    </row>
    <row r="393" ht="15.75" customHeight="1">
      <c r="H393" s="22"/>
    </row>
    <row r="394" ht="15.75" customHeight="1">
      <c r="H394" s="22"/>
    </row>
    <row r="395" ht="15.75" customHeight="1">
      <c r="H395" s="22"/>
    </row>
    <row r="396" ht="15.75" customHeight="1">
      <c r="H396" s="22"/>
    </row>
    <row r="397" ht="15.75" customHeight="1">
      <c r="H397" s="22"/>
    </row>
    <row r="398" ht="15.75" customHeight="1">
      <c r="H398" s="22"/>
    </row>
    <row r="399" ht="15.75" customHeight="1">
      <c r="H399" s="22"/>
    </row>
    <row r="400" ht="15.75" customHeight="1">
      <c r="H400" s="22"/>
    </row>
    <row r="401" ht="15.75" customHeight="1">
      <c r="H401" s="22"/>
    </row>
    <row r="402" ht="15.75" customHeight="1">
      <c r="H402" s="22"/>
    </row>
    <row r="403" ht="15.75" customHeight="1">
      <c r="H403" s="22"/>
    </row>
    <row r="404" ht="15.75" customHeight="1">
      <c r="H404" s="22"/>
    </row>
    <row r="405" ht="15.75" customHeight="1">
      <c r="H405" s="22"/>
    </row>
    <row r="406" ht="15.75" customHeight="1">
      <c r="H406" s="22"/>
    </row>
    <row r="407" ht="15.75" customHeight="1">
      <c r="H407" s="22"/>
    </row>
    <row r="408" ht="15.75" customHeight="1">
      <c r="H408" s="22"/>
    </row>
    <row r="409" ht="15.75" customHeight="1">
      <c r="H409" s="22"/>
    </row>
    <row r="410" ht="15.75" customHeight="1">
      <c r="H410" s="22"/>
    </row>
    <row r="411" ht="15.75" customHeight="1">
      <c r="H411" s="22"/>
    </row>
    <row r="412" ht="15.75" customHeight="1">
      <c r="H412" s="22"/>
    </row>
    <row r="413" ht="15.75" customHeight="1">
      <c r="H413" s="22"/>
    </row>
    <row r="414" ht="15.75" customHeight="1">
      <c r="H414" s="22"/>
    </row>
    <row r="415" ht="15.75" customHeight="1">
      <c r="H415" s="22"/>
    </row>
    <row r="416" ht="15.75" customHeight="1">
      <c r="H416" s="22"/>
    </row>
    <row r="417" ht="15.75" customHeight="1">
      <c r="H417" s="22"/>
    </row>
    <row r="418" ht="15.75" customHeight="1">
      <c r="H418" s="22"/>
    </row>
    <row r="419" ht="15.75" customHeight="1">
      <c r="H419" s="22"/>
    </row>
    <row r="420" ht="15.75" customHeight="1">
      <c r="H420" s="22"/>
    </row>
    <row r="421" ht="15.75" customHeight="1">
      <c r="H421" s="22"/>
    </row>
    <row r="422" ht="15.75" customHeight="1">
      <c r="H422" s="22"/>
    </row>
    <row r="423" ht="15.75" customHeight="1">
      <c r="H423" s="22"/>
    </row>
    <row r="424" ht="15.75" customHeight="1">
      <c r="H424" s="22"/>
    </row>
    <row r="425" ht="15.75" customHeight="1">
      <c r="H425" s="22"/>
    </row>
    <row r="426" ht="15.75" customHeight="1">
      <c r="H426" s="22"/>
    </row>
    <row r="427" ht="15.75" customHeight="1">
      <c r="H427" s="22"/>
    </row>
    <row r="428" ht="15.75" customHeight="1">
      <c r="H428" s="22"/>
    </row>
    <row r="429" ht="15.75" customHeight="1">
      <c r="H429" s="22"/>
    </row>
    <row r="430" ht="15.75" customHeight="1">
      <c r="H430" s="22"/>
    </row>
    <row r="431" ht="15.75" customHeight="1">
      <c r="H431" s="22"/>
    </row>
    <row r="432" ht="15.75" customHeight="1">
      <c r="H432" s="22"/>
    </row>
    <row r="433" ht="15.75" customHeight="1">
      <c r="H433" s="22"/>
    </row>
    <row r="434" ht="15.75" customHeight="1">
      <c r="H434" s="22"/>
    </row>
    <row r="435" ht="15.75" customHeight="1">
      <c r="H435" s="22"/>
    </row>
    <row r="436" ht="15.75" customHeight="1">
      <c r="H436" s="22"/>
    </row>
    <row r="437" ht="15.75" customHeight="1">
      <c r="H437" s="22"/>
    </row>
    <row r="438" ht="15.75" customHeight="1">
      <c r="H438" s="22"/>
    </row>
    <row r="439" ht="15.75" customHeight="1">
      <c r="H439" s="22"/>
    </row>
    <row r="440" ht="15.75" customHeight="1">
      <c r="H440" s="22"/>
    </row>
    <row r="441" ht="15.75" customHeight="1">
      <c r="H441" s="22"/>
    </row>
    <row r="442" ht="15.75" customHeight="1">
      <c r="H442" s="22"/>
    </row>
    <row r="443" ht="15.75" customHeight="1">
      <c r="H443" s="22"/>
    </row>
    <row r="444" ht="15.75" customHeight="1">
      <c r="H444" s="22"/>
    </row>
    <row r="445" ht="15.75" customHeight="1">
      <c r="H445" s="22"/>
    </row>
    <row r="446" ht="15.75" customHeight="1">
      <c r="H446" s="22"/>
    </row>
    <row r="447" ht="15.75" customHeight="1">
      <c r="H447" s="22"/>
    </row>
    <row r="448" ht="15.75" customHeight="1">
      <c r="H448" s="22"/>
    </row>
    <row r="449" ht="15.75" customHeight="1">
      <c r="H449" s="22"/>
    </row>
    <row r="450" ht="15.75" customHeight="1">
      <c r="H450" s="22"/>
    </row>
    <row r="451" ht="15.75" customHeight="1">
      <c r="H451" s="22"/>
    </row>
    <row r="452" ht="15.75" customHeight="1">
      <c r="H452" s="22"/>
    </row>
    <row r="453" ht="15.75" customHeight="1">
      <c r="H453" s="22"/>
    </row>
    <row r="454" ht="15.75" customHeight="1">
      <c r="H454" s="22"/>
    </row>
    <row r="455" ht="15.75" customHeight="1">
      <c r="H455" s="22"/>
    </row>
    <row r="456" ht="15.75" customHeight="1">
      <c r="H456" s="22"/>
    </row>
    <row r="457" ht="15.75" customHeight="1">
      <c r="H457" s="22"/>
    </row>
    <row r="458" ht="15.75" customHeight="1">
      <c r="H458" s="22"/>
    </row>
    <row r="459" ht="15.75" customHeight="1">
      <c r="H459" s="22"/>
    </row>
    <row r="460" ht="15.75" customHeight="1">
      <c r="H460" s="22"/>
    </row>
    <row r="461" ht="15.75" customHeight="1">
      <c r="H461" s="22"/>
    </row>
    <row r="462" ht="15.75" customHeight="1">
      <c r="H462" s="22"/>
    </row>
    <row r="463" ht="15.75" customHeight="1">
      <c r="H463" s="22"/>
    </row>
    <row r="464" ht="15.75" customHeight="1">
      <c r="H464" s="22"/>
    </row>
    <row r="465" ht="15.75" customHeight="1">
      <c r="H465" s="22"/>
    </row>
    <row r="466" ht="15.75" customHeight="1">
      <c r="H466" s="22"/>
    </row>
    <row r="467" ht="15.75" customHeight="1">
      <c r="H467" s="22"/>
    </row>
    <row r="468" ht="15.75" customHeight="1">
      <c r="H468" s="22"/>
    </row>
    <row r="469" ht="15.75" customHeight="1">
      <c r="H469" s="22"/>
    </row>
    <row r="470" ht="15.75" customHeight="1">
      <c r="H470" s="22"/>
    </row>
    <row r="471" ht="15.75" customHeight="1">
      <c r="H471" s="22"/>
    </row>
    <row r="472" ht="15.75" customHeight="1">
      <c r="H472" s="22"/>
    </row>
    <row r="473" ht="15.75" customHeight="1">
      <c r="H473" s="22"/>
    </row>
    <row r="474" ht="15.75" customHeight="1">
      <c r="H474" s="22"/>
    </row>
    <row r="475" ht="15.75" customHeight="1">
      <c r="H475" s="22"/>
    </row>
    <row r="476" ht="15.75" customHeight="1">
      <c r="H476" s="22"/>
    </row>
    <row r="477" ht="15.75" customHeight="1">
      <c r="H477" s="22"/>
    </row>
    <row r="478" ht="15.75" customHeight="1">
      <c r="H478" s="22"/>
    </row>
    <row r="479" ht="15.75" customHeight="1">
      <c r="H479" s="22"/>
    </row>
    <row r="480" ht="15.75" customHeight="1">
      <c r="H480" s="22"/>
    </row>
    <row r="481" ht="15.75" customHeight="1">
      <c r="H481" s="22"/>
    </row>
    <row r="482" ht="15.75" customHeight="1">
      <c r="H482" s="22"/>
    </row>
    <row r="483" ht="15.75" customHeight="1">
      <c r="H483" s="22"/>
    </row>
    <row r="484" ht="15.75" customHeight="1">
      <c r="H484" s="22"/>
    </row>
    <row r="485" ht="15.75" customHeight="1">
      <c r="H485" s="22"/>
    </row>
    <row r="486" ht="15.75" customHeight="1">
      <c r="H486" s="22"/>
    </row>
    <row r="487" ht="15.75" customHeight="1">
      <c r="H487" s="22"/>
    </row>
    <row r="488" ht="15.75" customHeight="1">
      <c r="H488" s="22"/>
    </row>
    <row r="489" ht="15.75" customHeight="1">
      <c r="H489" s="22"/>
    </row>
    <row r="490" ht="15.75" customHeight="1">
      <c r="H490" s="22"/>
    </row>
    <row r="491" ht="15.75" customHeight="1">
      <c r="H491" s="22"/>
    </row>
    <row r="492" ht="15.75" customHeight="1">
      <c r="H492" s="22"/>
    </row>
    <row r="493" ht="15.75" customHeight="1">
      <c r="H493" s="22"/>
    </row>
    <row r="494" ht="15.75" customHeight="1">
      <c r="H494" s="22"/>
    </row>
    <row r="495" ht="15.75" customHeight="1">
      <c r="H495" s="22"/>
    </row>
    <row r="496" ht="15.75" customHeight="1">
      <c r="H496" s="22"/>
    </row>
    <row r="497" ht="15.75" customHeight="1">
      <c r="H497" s="22"/>
    </row>
    <row r="498" ht="15.75" customHeight="1">
      <c r="H498" s="22"/>
    </row>
    <row r="499" ht="15.75" customHeight="1">
      <c r="H499" s="22"/>
    </row>
    <row r="500" ht="15.75" customHeight="1">
      <c r="H500" s="22"/>
    </row>
    <row r="501" ht="15.75" customHeight="1">
      <c r="H501" s="22"/>
    </row>
    <row r="502" ht="15.75" customHeight="1">
      <c r="H502" s="22"/>
    </row>
    <row r="503" ht="15.75" customHeight="1">
      <c r="H503" s="22"/>
    </row>
    <row r="504" ht="15.75" customHeight="1">
      <c r="H504" s="22"/>
    </row>
    <row r="505" ht="15.75" customHeight="1">
      <c r="H505" s="22"/>
    </row>
    <row r="506" ht="15.75" customHeight="1">
      <c r="H506" s="22"/>
    </row>
    <row r="507" ht="15.75" customHeight="1">
      <c r="H507" s="22"/>
    </row>
    <row r="508" ht="15.75" customHeight="1">
      <c r="H508" s="22"/>
    </row>
    <row r="509" ht="15.75" customHeight="1">
      <c r="H509" s="22"/>
    </row>
    <row r="510" ht="15.75" customHeight="1">
      <c r="H510" s="22"/>
    </row>
    <row r="511" ht="15.75" customHeight="1">
      <c r="H511" s="22"/>
    </row>
    <row r="512" ht="15.75" customHeight="1">
      <c r="H512" s="22"/>
    </row>
    <row r="513" ht="15.75" customHeight="1">
      <c r="H513" s="22"/>
    </row>
    <row r="514" ht="15.75" customHeight="1">
      <c r="H514" s="22"/>
    </row>
    <row r="515" ht="15.75" customHeight="1">
      <c r="H515" s="22"/>
    </row>
    <row r="516" ht="15.75" customHeight="1">
      <c r="H516" s="22"/>
    </row>
    <row r="517" ht="15.75" customHeight="1">
      <c r="H517" s="22"/>
    </row>
    <row r="518" ht="15.75" customHeight="1">
      <c r="H518" s="22"/>
    </row>
    <row r="519" ht="15.75" customHeight="1">
      <c r="H519" s="22"/>
    </row>
    <row r="520" ht="15.75" customHeight="1">
      <c r="H520" s="22"/>
    </row>
    <row r="521" ht="15.75" customHeight="1">
      <c r="H521" s="22"/>
    </row>
    <row r="522" ht="15.75" customHeight="1">
      <c r="H522" s="22"/>
    </row>
    <row r="523" ht="15.75" customHeight="1">
      <c r="H523" s="22"/>
    </row>
    <row r="524" ht="15.75" customHeight="1">
      <c r="H524" s="22"/>
    </row>
    <row r="525" ht="15.75" customHeight="1">
      <c r="H525" s="22"/>
    </row>
    <row r="526" ht="15.75" customHeight="1">
      <c r="H526" s="22"/>
    </row>
    <row r="527" ht="15.75" customHeight="1">
      <c r="H527" s="22"/>
    </row>
    <row r="528" ht="15.75" customHeight="1">
      <c r="H528" s="22"/>
    </row>
    <row r="529" ht="15.75" customHeight="1">
      <c r="H529" s="22"/>
    </row>
    <row r="530" ht="15.75" customHeight="1">
      <c r="H530" s="22"/>
    </row>
    <row r="531" ht="15.75" customHeight="1">
      <c r="H531" s="22"/>
    </row>
    <row r="532" ht="15.75" customHeight="1">
      <c r="H532" s="22"/>
    </row>
    <row r="533" ht="15.75" customHeight="1">
      <c r="H533" s="22"/>
    </row>
    <row r="534" ht="15.75" customHeight="1">
      <c r="H534" s="22"/>
    </row>
    <row r="535" ht="15.75" customHeight="1">
      <c r="H535" s="22"/>
    </row>
    <row r="536" ht="15.75" customHeight="1">
      <c r="H536" s="22"/>
    </row>
    <row r="537" ht="15.75" customHeight="1">
      <c r="H537" s="22"/>
    </row>
    <row r="538" ht="15.75" customHeight="1">
      <c r="H538" s="22"/>
    </row>
    <row r="539" ht="15.75" customHeight="1">
      <c r="H539" s="22"/>
    </row>
    <row r="540" ht="15.75" customHeight="1">
      <c r="H540" s="22"/>
    </row>
    <row r="541" ht="15.75" customHeight="1">
      <c r="H541" s="22"/>
    </row>
    <row r="542" ht="15.75" customHeight="1">
      <c r="H542" s="22"/>
    </row>
    <row r="543" ht="15.75" customHeight="1">
      <c r="H543" s="22"/>
    </row>
    <row r="544" ht="15.75" customHeight="1">
      <c r="H544" s="22"/>
    </row>
    <row r="545" ht="15.75" customHeight="1">
      <c r="H545" s="22"/>
    </row>
    <row r="546" ht="15.75" customHeight="1">
      <c r="H546" s="22"/>
    </row>
    <row r="547" ht="15.75" customHeight="1">
      <c r="H547" s="22"/>
    </row>
    <row r="548" ht="15.75" customHeight="1">
      <c r="H548" s="22"/>
    </row>
    <row r="549" ht="15.75" customHeight="1">
      <c r="H549" s="22"/>
    </row>
    <row r="550" ht="15.75" customHeight="1">
      <c r="H550" s="22"/>
    </row>
    <row r="551" ht="15.75" customHeight="1">
      <c r="H551" s="22"/>
    </row>
    <row r="552" ht="15.75" customHeight="1">
      <c r="H552" s="22"/>
    </row>
    <row r="553" ht="15.75" customHeight="1">
      <c r="H553" s="22"/>
    </row>
    <row r="554" ht="15.75" customHeight="1">
      <c r="H554" s="22"/>
    </row>
    <row r="555" ht="15.75" customHeight="1">
      <c r="H555" s="22"/>
    </row>
    <row r="556" ht="15.75" customHeight="1">
      <c r="H556" s="22"/>
    </row>
    <row r="557" ht="15.75" customHeight="1">
      <c r="H557" s="22"/>
    </row>
    <row r="558" ht="15.75" customHeight="1">
      <c r="H558" s="22"/>
    </row>
    <row r="559" ht="15.75" customHeight="1">
      <c r="H559" s="22"/>
    </row>
    <row r="560" ht="15.75" customHeight="1">
      <c r="H560" s="22"/>
    </row>
    <row r="561" ht="15.75" customHeight="1">
      <c r="H561" s="22"/>
    </row>
    <row r="562" ht="15.75" customHeight="1">
      <c r="H562" s="22"/>
    </row>
    <row r="563" ht="15.75" customHeight="1">
      <c r="H563" s="22"/>
    </row>
    <row r="564" ht="15.75" customHeight="1">
      <c r="H564" s="22"/>
    </row>
    <row r="565" ht="15.75" customHeight="1">
      <c r="H565" s="22"/>
    </row>
    <row r="566" ht="15.75" customHeight="1">
      <c r="H566" s="22"/>
    </row>
    <row r="567" ht="15.75" customHeight="1">
      <c r="H567" s="22"/>
    </row>
    <row r="568" ht="15.75" customHeight="1">
      <c r="H568" s="22"/>
    </row>
    <row r="569" ht="15.75" customHeight="1">
      <c r="H569" s="22"/>
    </row>
    <row r="570" ht="15.75" customHeight="1">
      <c r="H570" s="22"/>
    </row>
    <row r="571" ht="15.75" customHeight="1">
      <c r="H571" s="22"/>
    </row>
    <row r="572" ht="15.75" customHeight="1">
      <c r="H572" s="22"/>
    </row>
    <row r="573" ht="15.75" customHeight="1">
      <c r="H573" s="22"/>
    </row>
    <row r="574" ht="15.75" customHeight="1">
      <c r="H574" s="22"/>
    </row>
    <row r="575" ht="15.75" customHeight="1">
      <c r="H575" s="22"/>
    </row>
    <row r="576" ht="15.75" customHeight="1">
      <c r="H576" s="22"/>
    </row>
    <row r="577" ht="15.75" customHeight="1">
      <c r="H577" s="22"/>
    </row>
    <row r="578" ht="15.75" customHeight="1">
      <c r="H578" s="22"/>
    </row>
    <row r="579" ht="15.75" customHeight="1">
      <c r="H579" s="22"/>
    </row>
    <row r="580" ht="15.75" customHeight="1">
      <c r="H580" s="22"/>
    </row>
    <row r="581" ht="15.75" customHeight="1">
      <c r="H581" s="22"/>
    </row>
    <row r="582" ht="15.75" customHeight="1">
      <c r="H582" s="22"/>
    </row>
    <row r="583" ht="15.75" customHeight="1">
      <c r="H583" s="22"/>
    </row>
    <row r="584" ht="15.75" customHeight="1">
      <c r="H584" s="22"/>
    </row>
    <row r="585" ht="15.75" customHeight="1">
      <c r="H585" s="22"/>
    </row>
    <row r="586" ht="15.75" customHeight="1">
      <c r="H586" s="22"/>
    </row>
    <row r="587" ht="15.75" customHeight="1">
      <c r="H587" s="22"/>
    </row>
    <row r="588" ht="15.75" customHeight="1">
      <c r="H588" s="22"/>
    </row>
    <row r="589" ht="15.75" customHeight="1">
      <c r="H589" s="22"/>
    </row>
    <row r="590" ht="15.75" customHeight="1">
      <c r="H590" s="22"/>
    </row>
    <row r="591" ht="15.75" customHeight="1">
      <c r="H591" s="22"/>
    </row>
    <row r="592" ht="15.75" customHeight="1">
      <c r="H592" s="22"/>
    </row>
    <row r="593" ht="15.75" customHeight="1">
      <c r="H593" s="22"/>
    </row>
    <row r="594" ht="15.75" customHeight="1">
      <c r="H594" s="22"/>
    </row>
    <row r="595" ht="15.75" customHeight="1">
      <c r="H595" s="22"/>
    </row>
    <row r="596" ht="15.75" customHeight="1">
      <c r="H596" s="22"/>
    </row>
    <row r="597" ht="15.75" customHeight="1">
      <c r="H597" s="22"/>
    </row>
    <row r="598" ht="15.75" customHeight="1">
      <c r="H598" s="22"/>
    </row>
    <row r="599" ht="15.75" customHeight="1">
      <c r="H599" s="22"/>
    </row>
    <row r="600" ht="15.75" customHeight="1">
      <c r="H600" s="22"/>
    </row>
    <row r="601" ht="15.75" customHeight="1">
      <c r="H601" s="22"/>
    </row>
    <row r="602" ht="15.75" customHeight="1">
      <c r="H602" s="22"/>
    </row>
    <row r="603" ht="15.75" customHeight="1">
      <c r="H603" s="22"/>
    </row>
    <row r="604" ht="15.75" customHeight="1">
      <c r="H604" s="22"/>
    </row>
    <row r="605" ht="15.75" customHeight="1">
      <c r="H605" s="22"/>
    </row>
    <row r="606" ht="15.75" customHeight="1">
      <c r="H606" s="22"/>
    </row>
    <row r="607" ht="15.75" customHeight="1">
      <c r="H607" s="22"/>
    </row>
    <row r="608" ht="15.75" customHeight="1">
      <c r="H608" s="22"/>
    </row>
    <row r="609" ht="15.75" customHeight="1">
      <c r="H609" s="22"/>
    </row>
    <row r="610" ht="15.75" customHeight="1">
      <c r="H610" s="22"/>
    </row>
    <row r="611" ht="15.75" customHeight="1">
      <c r="H611" s="22"/>
    </row>
    <row r="612" ht="15.75" customHeight="1">
      <c r="H612" s="22"/>
    </row>
    <row r="613" ht="15.75" customHeight="1">
      <c r="H613" s="22"/>
    </row>
    <row r="614" ht="15.75" customHeight="1">
      <c r="H614" s="22"/>
    </row>
    <row r="615" ht="15.75" customHeight="1">
      <c r="H615" s="22"/>
    </row>
    <row r="616" ht="15.75" customHeight="1">
      <c r="H616" s="22"/>
    </row>
    <row r="617" ht="15.75" customHeight="1">
      <c r="H617" s="22"/>
    </row>
    <row r="618" ht="15.75" customHeight="1">
      <c r="H618" s="22"/>
    </row>
    <row r="619" ht="15.75" customHeight="1">
      <c r="H619" s="22"/>
    </row>
    <row r="620" ht="15.75" customHeight="1">
      <c r="H620" s="22"/>
    </row>
    <row r="621" ht="15.75" customHeight="1">
      <c r="H621" s="22"/>
    </row>
    <row r="622" ht="15.75" customHeight="1">
      <c r="H622" s="22"/>
    </row>
    <row r="623" ht="15.75" customHeight="1">
      <c r="H623" s="22"/>
    </row>
    <row r="624" ht="15.75" customHeight="1">
      <c r="H624" s="22"/>
    </row>
    <row r="625" ht="15.75" customHeight="1">
      <c r="H625" s="22"/>
    </row>
    <row r="626" ht="15.75" customHeight="1">
      <c r="H626" s="22"/>
    </row>
    <row r="627" ht="15.75" customHeight="1">
      <c r="H627" s="22"/>
    </row>
    <row r="628" ht="15.75" customHeight="1">
      <c r="H628" s="22"/>
    </row>
    <row r="629" ht="15.75" customHeight="1">
      <c r="H629" s="22"/>
    </row>
    <row r="630" ht="15.75" customHeight="1">
      <c r="H630" s="22"/>
    </row>
    <row r="631" ht="15.75" customHeight="1">
      <c r="H631" s="22"/>
    </row>
    <row r="632" ht="15.75" customHeight="1">
      <c r="H632" s="22"/>
    </row>
    <row r="633" ht="15.75" customHeight="1">
      <c r="H633" s="22"/>
    </row>
    <row r="634" ht="15.75" customHeight="1">
      <c r="H634" s="22"/>
    </row>
    <row r="635" ht="15.75" customHeight="1">
      <c r="H635" s="22"/>
    </row>
    <row r="636" ht="15.75" customHeight="1">
      <c r="H636" s="22"/>
    </row>
    <row r="637" ht="15.75" customHeight="1">
      <c r="H637" s="22"/>
    </row>
    <row r="638" ht="15.75" customHeight="1">
      <c r="H638" s="22"/>
    </row>
    <row r="639" ht="15.75" customHeight="1">
      <c r="H639" s="22"/>
    </row>
    <row r="640" ht="15.75" customHeight="1">
      <c r="H640" s="22"/>
    </row>
    <row r="641" ht="15.75" customHeight="1">
      <c r="H641" s="22"/>
    </row>
    <row r="642" ht="15.75" customHeight="1">
      <c r="H642" s="22"/>
    </row>
    <row r="643" ht="15.75" customHeight="1">
      <c r="H643" s="22"/>
    </row>
    <row r="644" ht="15.75" customHeight="1">
      <c r="H644" s="22"/>
    </row>
    <row r="645" ht="15.75" customHeight="1">
      <c r="H645" s="22"/>
    </row>
    <row r="646" ht="15.75" customHeight="1">
      <c r="H646" s="22"/>
    </row>
    <row r="647" ht="15.75" customHeight="1">
      <c r="H647" s="22"/>
    </row>
    <row r="648" ht="15.75" customHeight="1">
      <c r="H648" s="22"/>
    </row>
    <row r="649" ht="15.75" customHeight="1">
      <c r="H649" s="22"/>
    </row>
    <row r="650" ht="15.75" customHeight="1">
      <c r="H650" s="22"/>
    </row>
    <row r="651" ht="15.75" customHeight="1">
      <c r="H651" s="22"/>
    </row>
    <row r="652" ht="15.75" customHeight="1">
      <c r="H652" s="22"/>
    </row>
    <row r="653" ht="15.75" customHeight="1">
      <c r="H653" s="22"/>
    </row>
    <row r="654" ht="15.75" customHeight="1">
      <c r="H654" s="22"/>
    </row>
    <row r="655" ht="15.75" customHeight="1">
      <c r="H655" s="22"/>
    </row>
    <row r="656" ht="15.75" customHeight="1">
      <c r="H656" s="22"/>
    </row>
    <row r="657" ht="15.75" customHeight="1">
      <c r="H657" s="22"/>
    </row>
    <row r="658" ht="15.75" customHeight="1">
      <c r="H658" s="22"/>
    </row>
    <row r="659" ht="15.75" customHeight="1">
      <c r="H659" s="22"/>
    </row>
    <row r="660" ht="15.75" customHeight="1">
      <c r="H660" s="22"/>
    </row>
    <row r="661" ht="15.75" customHeight="1">
      <c r="H661" s="22"/>
    </row>
    <row r="662" ht="15.75" customHeight="1">
      <c r="H662" s="22"/>
    </row>
    <row r="663" ht="15.75" customHeight="1">
      <c r="H663" s="22"/>
    </row>
    <row r="664" ht="15.75" customHeight="1">
      <c r="H664" s="22"/>
    </row>
    <row r="665" ht="15.75" customHeight="1">
      <c r="H665" s="22"/>
    </row>
    <row r="666" ht="15.75" customHeight="1">
      <c r="H666" s="22"/>
    </row>
    <row r="667" ht="15.75" customHeight="1">
      <c r="H667" s="22"/>
    </row>
    <row r="668" ht="15.75" customHeight="1">
      <c r="H668" s="22"/>
    </row>
    <row r="669" ht="15.75" customHeight="1">
      <c r="H669" s="22"/>
    </row>
    <row r="670" ht="15.75" customHeight="1">
      <c r="H670" s="22"/>
    </row>
    <row r="671" ht="15.75" customHeight="1">
      <c r="H671" s="22"/>
    </row>
    <row r="672" ht="15.75" customHeight="1">
      <c r="H672" s="22"/>
    </row>
    <row r="673" ht="15.75" customHeight="1">
      <c r="H673" s="22"/>
    </row>
    <row r="674" ht="15.75" customHeight="1">
      <c r="H674" s="22"/>
    </row>
    <row r="675" ht="15.75" customHeight="1">
      <c r="H675" s="22"/>
    </row>
    <row r="676" ht="15.75" customHeight="1">
      <c r="H676" s="22"/>
    </row>
    <row r="677" ht="15.75" customHeight="1">
      <c r="H677" s="22"/>
    </row>
    <row r="678" ht="15.75" customHeight="1">
      <c r="H678" s="22"/>
    </row>
    <row r="679" ht="15.75" customHeight="1">
      <c r="H679" s="22"/>
    </row>
    <row r="680" ht="15.75" customHeight="1">
      <c r="H680" s="22"/>
    </row>
    <row r="681" ht="15.75" customHeight="1">
      <c r="H681" s="22"/>
    </row>
    <row r="682" ht="15.75" customHeight="1">
      <c r="H682" s="22"/>
    </row>
    <row r="683" ht="15.75" customHeight="1">
      <c r="H683" s="22"/>
    </row>
    <row r="684" ht="15.75" customHeight="1">
      <c r="H684" s="22"/>
    </row>
    <row r="685" ht="15.75" customHeight="1">
      <c r="H685" s="22"/>
    </row>
    <row r="686" ht="15.75" customHeight="1">
      <c r="H686" s="22"/>
    </row>
    <row r="687" ht="15.75" customHeight="1">
      <c r="H687" s="22"/>
    </row>
    <row r="688" ht="15.75" customHeight="1">
      <c r="H688" s="22"/>
    </row>
    <row r="689" ht="15.75" customHeight="1">
      <c r="H689" s="22"/>
    </row>
    <row r="690" ht="15.75" customHeight="1">
      <c r="H690" s="22"/>
    </row>
    <row r="691" ht="15.75" customHeight="1">
      <c r="H691" s="22"/>
    </row>
    <row r="692" ht="15.75" customHeight="1">
      <c r="H692" s="22"/>
    </row>
    <row r="693" ht="15.75" customHeight="1">
      <c r="H693" s="22"/>
    </row>
    <row r="694" ht="15.75" customHeight="1">
      <c r="H694" s="22"/>
    </row>
    <row r="695" ht="15.75" customHeight="1">
      <c r="H695" s="22"/>
    </row>
    <row r="696" ht="15.75" customHeight="1">
      <c r="H696" s="22"/>
    </row>
    <row r="697" ht="15.75" customHeight="1">
      <c r="H697" s="22"/>
    </row>
    <row r="698" ht="15.75" customHeight="1">
      <c r="H698" s="22"/>
    </row>
    <row r="699" ht="15.75" customHeight="1">
      <c r="H699" s="22"/>
    </row>
    <row r="700" ht="15.75" customHeight="1">
      <c r="H700" s="22"/>
    </row>
    <row r="701" ht="15.75" customHeight="1">
      <c r="H701" s="22"/>
    </row>
    <row r="702" ht="15.75" customHeight="1">
      <c r="H702" s="22"/>
    </row>
    <row r="703" ht="15.75" customHeight="1">
      <c r="H703" s="22"/>
    </row>
    <row r="704" ht="15.75" customHeight="1">
      <c r="H704" s="22"/>
    </row>
    <row r="705" ht="15.75" customHeight="1">
      <c r="H705" s="22"/>
    </row>
    <row r="706" ht="15.75" customHeight="1">
      <c r="H706" s="22"/>
    </row>
    <row r="707" ht="15.75" customHeight="1">
      <c r="H707" s="22"/>
    </row>
    <row r="708" ht="15.75" customHeight="1">
      <c r="H708" s="22"/>
    </row>
    <row r="709" ht="15.75" customHeight="1">
      <c r="H709" s="22"/>
    </row>
    <row r="710" ht="15.75" customHeight="1">
      <c r="H710" s="22"/>
    </row>
    <row r="711" ht="15.75" customHeight="1">
      <c r="H711" s="22"/>
    </row>
    <row r="712" ht="15.75" customHeight="1">
      <c r="H712" s="22"/>
    </row>
    <row r="713" ht="15.75" customHeight="1">
      <c r="H713" s="22"/>
    </row>
    <row r="714" ht="15.75" customHeight="1">
      <c r="H714" s="22"/>
    </row>
    <row r="715" ht="15.75" customHeight="1">
      <c r="H715" s="22"/>
    </row>
    <row r="716" ht="15.75" customHeight="1">
      <c r="H716" s="22"/>
    </row>
    <row r="717" ht="15.75" customHeight="1">
      <c r="H717" s="22"/>
    </row>
    <row r="718" ht="15.75" customHeight="1">
      <c r="H718" s="22"/>
    </row>
    <row r="719" ht="15.75" customHeight="1">
      <c r="H719" s="22"/>
    </row>
    <row r="720" ht="15.75" customHeight="1">
      <c r="H720" s="22"/>
    </row>
    <row r="721" ht="15.75" customHeight="1">
      <c r="H721" s="22"/>
    </row>
    <row r="722" ht="15.75" customHeight="1">
      <c r="H722" s="22"/>
    </row>
    <row r="723" ht="15.75" customHeight="1">
      <c r="H723" s="22"/>
    </row>
    <row r="724" ht="15.75" customHeight="1">
      <c r="H724" s="22"/>
    </row>
    <row r="725" ht="15.75" customHeight="1">
      <c r="H725" s="22"/>
    </row>
    <row r="726" ht="15.75" customHeight="1">
      <c r="H726" s="22"/>
    </row>
    <row r="727" ht="15.75" customHeight="1">
      <c r="H727" s="22"/>
    </row>
    <row r="728" ht="15.75" customHeight="1">
      <c r="H728" s="22"/>
    </row>
    <row r="729" ht="15.75" customHeight="1">
      <c r="H729" s="22"/>
    </row>
    <row r="730" ht="15.75" customHeight="1">
      <c r="H730" s="22"/>
    </row>
    <row r="731" ht="15.75" customHeight="1">
      <c r="H731" s="22"/>
    </row>
    <row r="732" ht="15.75" customHeight="1">
      <c r="H732" s="22"/>
    </row>
    <row r="733" ht="15.75" customHeight="1">
      <c r="H733" s="22"/>
    </row>
    <row r="734" ht="15.75" customHeight="1">
      <c r="H734" s="22"/>
    </row>
    <row r="735" ht="15.75" customHeight="1">
      <c r="H735" s="22"/>
    </row>
    <row r="736" ht="15.75" customHeight="1">
      <c r="H736" s="22"/>
    </row>
    <row r="737" ht="15.75" customHeight="1">
      <c r="H737" s="22"/>
    </row>
    <row r="738" ht="15.75" customHeight="1">
      <c r="H738" s="22"/>
    </row>
    <row r="739" ht="15.75" customHeight="1">
      <c r="H739" s="22"/>
    </row>
    <row r="740" ht="15.75" customHeight="1">
      <c r="H740" s="22"/>
    </row>
    <row r="741" ht="15.75" customHeight="1">
      <c r="H741" s="22"/>
    </row>
    <row r="742" ht="15.75" customHeight="1">
      <c r="H742" s="22"/>
    </row>
    <row r="743" ht="15.75" customHeight="1">
      <c r="H743" s="22"/>
    </row>
    <row r="744" ht="15.75" customHeight="1">
      <c r="H744" s="22"/>
    </row>
    <row r="745" ht="15.75" customHeight="1">
      <c r="H745" s="22"/>
    </row>
    <row r="746" ht="15.75" customHeight="1">
      <c r="H746" s="22"/>
    </row>
    <row r="747" ht="15.75" customHeight="1">
      <c r="H747" s="22"/>
    </row>
    <row r="748" ht="15.75" customHeight="1">
      <c r="H748" s="22"/>
    </row>
    <row r="749" ht="15.75" customHeight="1">
      <c r="H749" s="22"/>
    </row>
    <row r="750" ht="15.75" customHeight="1">
      <c r="H750" s="22"/>
    </row>
    <row r="751" ht="15.75" customHeight="1">
      <c r="H751" s="22"/>
    </row>
    <row r="752" ht="15.75" customHeight="1">
      <c r="H752" s="22"/>
    </row>
    <row r="753" ht="15.75" customHeight="1">
      <c r="H753" s="22"/>
    </row>
    <row r="754" ht="15.75" customHeight="1">
      <c r="H754" s="22"/>
    </row>
    <row r="755" ht="15.75" customHeight="1">
      <c r="H755" s="22"/>
    </row>
    <row r="756" ht="15.75" customHeight="1">
      <c r="H756" s="22"/>
    </row>
    <row r="757" ht="15.75" customHeight="1">
      <c r="H757" s="22"/>
    </row>
    <row r="758" ht="15.75" customHeight="1">
      <c r="H758" s="22"/>
    </row>
    <row r="759" ht="15.75" customHeight="1">
      <c r="H759" s="22"/>
    </row>
    <row r="760" ht="15.75" customHeight="1">
      <c r="H760" s="22"/>
    </row>
    <row r="761" ht="15.75" customHeight="1">
      <c r="H761" s="22"/>
    </row>
    <row r="762" ht="15.75" customHeight="1">
      <c r="H762" s="22"/>
    </row>
    <row r="763" ht="15.75" customHeight="1">
      <c r="H763" s="22"/>
    </row>
    <row r="764" ht="15.75" customHeight="1">
      <c r="H764" s="22"/>
    </row>
    <row r="765" ht="15.75" customHeight="1">
      <c r="H765" s="22"/>
    </row>
    <row r="766" ht="15.75" customHeight="1">
      <c r="H766" s="22"/>
    </row>
    <row r="767" ht="15.75" customHeight="1">
      <c r="H767" s="22"/>
    </row>
    <row r="768" ht="15.75" customHeight="1">
      <c r="H768" s="22"/>
    </row>
    <row r="769" ht="15.75" customHeight="1">
      <c r="H769" s="22"/>
    </row>
    <row r="770" ht="15.75" customHeight="1">
      <c r="H770" s="22"/>
    </row>
    <row r="771" ht="15.75" customHeight="1">
      <c r="H771" s="22"/>
    </row>
    <row r="772" ht="15.75" customHeight="1">
      <c r="H772" s="22"/>
    </row>
    <row r="773" ht="15.75" customHeight="1">
      <c r="H773" s="22"/>
    </row>
    <row r="774" ht="15.75" customHeight="1">
      <c r="H774" s="22"/>
    </row>
    <row r="775" ht="15.75" customHeight="1">
      <c r="H775" s="22"/>
    </row>
    <row r="776" ht="15.75" customHeight="1">
      <c r="H776" s="22"/>
    </row>
    <row r="777" ht="15.75" customHeight="1">
      <c r="H777" s="22"/>
    </row>
    <row r="778" ht="15.75" customHeight="1">
      <c r="H778" s="22"/>
    </row>
    <row r="779" ht="15.75" customHeight="1">
      <c r="H779" s="22"/>
    </row>
    <row r="780" ht="15.75" customHeight="1">
      <c r="H780" s="22"/>
    </row>
    <row r="781" ht="15.75" customHeight="1">
      <c r="H781" s="22"/>
    </row>
    <row r="782" ht="15.75" customHeight="1">
      <c r="H782" s="22"/>
    </row>
    <row r="783" ht="15.75" customHeight="1">
      <c r="H783" s="22"/>
    </row>
    <row r="784" ht="15.75" customHeight="1">
      <c r="H784" s="22"/>
    </row>
    <row r="785" ht="15.75" customHeight="1">
      <c r="H785" s="22"/>
    </row>
    <row r="786" ht="15.75" customHeight="1">
      <c r="H786" s="22"/>
    </row>
    <row r="787" ht="15.75" customHeight="1">
      <c r="H787" s="22"/>
    </row>
    <row r="788" ht="15.75" customHeight="1">
      <c r="H788" s="22"/>
    </row>
    <row r="789" ht="15.75" customHeight="1">
      <c r="H789" s="22"/>
    </row>
    <row r="790" ht="15.75" customHeight="1">
      <c r="H790" s="22"/>
    </row>
    <row r="791" ht="15.75" customHeight="1">
      <c r="H791" s="22"/>
    </row>
    <row r="792" ht="15.75" customHeight="1">
      <c r="H792" s="22"/>
    </row>
    <row r="793" ht="15.75" customHeight="1">
      <c r="H793" s="22"/>
    </row>
    <row r="794" ht="15.75" customHeight="1">
      <c r="H794" s="22"/>
    </row>
    <row r="795" ht="15.75" customHeight="1">
      <c r="H795" s="22"/>
    </row>
    <row r="796" ht="15.75" customHeight="1">
      <c r="H796" s="22"/>
    </row>
    <row r="797" ht="15.75" customHeight="1">
      <c r="H797" s="22"/>
    </row>
    <row r="798" ht="15.75" customHeight="1">
      <c r="H798" s="22"/>
    </row>
    <row r="799" ht="15.75" customHeight="1">
      <c r="H799" s="22"/>
    </row>
    <row r="800" ht="15.75" customHeight="1">
      <c r="H800" s="22"/>
    </row>
    <row r="801" ht="15.75" customHeight="1">
      <c r="H801" s="22"/>
    </row>
    <row r="802" ht="15.75" customHeight="1">
      <c r="H802" s="22"/>
    </row>
    <row r="803" ht="15.75" customHeight="1">
      <c r="H803" s="22"/>
    </row>
    <row r="804" ht="15.75" customHeight="1">
      <c r="H804" s="22"/>
    </row>
    <row r="805" ht="15.75" customHeight="1">
      <c r="H805" s="22"/>
    </row>
    <row r="806" ht="15.75" customHeight="1">
      <c r="H806" s="22"/>
    </row>
    <row r="807" ht="15.75" customHeight="1">
      <c r="H807" s="22"/>
    </row>
    <row r="808" ht="15.75" customHeight="1">
      <c r="H808" s="22"/>
    </row>
    <row r="809" ht="15.75" customHeight="1">
      <c r="H809" s="22"/>
    </row>
    <row r="810" ht="15.75" customHeight="1">
      <c r="H810" s="22"/>
    </row>
    <row r="811" ht="15.75" customHeight="1">
      <c r="H811" s="22"/>
    </row>
    <row r="812" ht="15.75" customHeight="1">
      <c r="H812" s="22"/>
    </row>
    <row r="813" ht="15.75" customHeight="1">
      <c r="H813" s="22"/>
    </row>
    <row r="814" ht="15.75" customHeight="1">
      <c r="H814" s="22"/>
    </row>
    <row r="815" ht="15.75" customHeight="1">
      <c r="H815" s="22"/>
    </row>
    <row r="816" ht="15.75" customHeight="1">
      <c r="H816" s="22"/>
    </row>
    <row r="817" ht="15.75" customHeight="1">
      <c r="H817" s="22"/>
    </row>
    <row r="818" ht="15.75" customHeight="1">
      <c r="H818" s="22"/>
    </row>
    <row r="819" ht="15.75" customHeight="1">
      <c r="H819" s="22"/>
    </row>
    <row r="820" ht="15.75" customHeight="1">
      <c r="H820" s="22"/>
    </row>
    <row r="821" ht="15.75" customHeight="1">
      <c r="H821" s="22"/>
    </row>
    <row r="822" ht="15.75" customHeight="1">
      <c r="H822" s="22"/>
    </row>
    <row r="823" ht="15.75" customHeight="1">
      <c r="H823" s="22"/>
    </row>
    <row r="824" ht="15.75" customHeight="1">
      <c r="H824" s="22"/>
    </row>
    <row r="825" ht="15.75" customHeight="1">
      <c r="H825" s="22"/>
    </row>
    <row r="826" ht="15.75" customHeight="1">
      <c r="H826" s="22"/>
    </row>
    <row r="827" ht="15.75" customHeight="1">
      <c r="H827" s="22"/>
    </row>
    <row r="828" ht="15.75" customHeight="1">
      <c r="H828" s="22"/>
    </row>
    <row r="829" ht="15.75" customHeight="1">
      <c r="H829" s="22"/>
    </row>
    <row r="830" ht="15.75" customHeight="1">
      <c r="H830" s="22"/>
    </row>
    <row r="831" ht="15.75" customHeight="1">
      <c r="H831" s="22"/>
    </row>
    <row r="832" ht="15.75" customHeight="1">
      <c r="H832" s="22"/>
    </row>
    <row r="833" ht="15.75" customHeight="1">
      <c r="H833" s="22"/>
    </row>
    <row r="834" ht="15.75" customHeight="1">
      <c r="H834" s="22"/>
    </row>
    <row r="835" ht="15.75" customHeight="1">
      <c r="H835" s="22"/>
    </row>
    <row r="836" ht="15.75" customHeight="1">
      <c r="H836" s="22"/>
    </row>
    <row r="837" ht="15.75" customHeight="1">
      <c r="H837" s="22"/>
    </row>
    <row r="838" ht="15.75" customHeight="1">
      <c r="H838" s="22"/>
    </row>
    <row r="839" ht="15.75" customHeight="1">
      <c r="H839" s="22"/>
    </row>
    <row r="840" ht="15.75" customHeight="1">
      <c r="H840" s="22"/>
    </row>
    <row r="841" ht="15.75" customHeight="1">
      <c r="H841" s="22"/>
    </row>
    <row r="842" ht="15.75" customHeight="1">
      <c r="H842" s="22"/>
    </row>
    <row r="843" ht="15.75" customHeight="1">
      <c r="H843" s="22"/>
    </row>
    <row r="844" ht="15.75" customHeight="1">
      <c r="H844" s="22"/>
    </row>
    <row r="845" ht="15.75" customHeight="1">
      <c r="H845" s="22"/>
    </row>
    <row r="846" ht="15.75" customHeight="1">
      <c r="H846" s="22"/>
    </row>
    <row r="847" ht="15.75" customHeight="1">
      <c r="H847" s="22"/>
    </row>
    <row r="848" ht="15.75" customHeight="1">
      <c r="H848" s="22"/>
    </row>
    <row r="849" ht="15.75" customHeight="1">
      <c r="H849" s="22"/>
    </row>
    <row r="850" ht="15.75" customHeight="1">
      <c r="H850" s="22"/>
    </row>
    <row r="851" ht="15.75" customHeight="1">
      <c r="H851" s="22"/>
    </row>
    <row r="852" ht="15.75" customHeight="1">
      <c r="H852" s="22"/>
    </row>
    <row r="853" ht="15.75" customHeight="1">
      <c r="H853" s="22"/>
    </row>
    <row r="854" ht="15.75" customHeight="1">
      <c r="H854" s="22"/>
    </row>
    <row r="855" ht="15.75" customHeight="1">
      <c r="H855" s="22"/>
    </row>
    <row r="856" ht="15.75" customHeight="1">
      <c r="H856" s="22"/>
    </row>
    <row r="857" ht="15.75" customHeight="1">
      <c r="H857" s="22"/>
    </row>
    <row r="858" ht="15.75" customHeight="1">
      <c r="H858" s="22"/>
    </row>
    <row r="859" ht="15.75" customHeight="1">
      <c r="H859" s="22"/>
    </row>
    <row r="860" ht="15.75" customHeight="1">
      <c r="H860" s="22"/>
    </row>
    <row r="861" ht="15.75" customHeight="1">
      <c r="H861" s="22"/>
    </row>
    <row r="862" ht="15.75" customHeight="1">
      <c r="H862" s="22"/>
    </row>
    <row r="863" ht="15.75" customHeight="1">
      <c r="H863" s="22"/>
    </row>
    <row r="864" ht="15.75" customHeight="1">
      <c r="H864" s="22"/>
    </row>
    <row r="865" ht="15.75" customHeight="1">
      <c r="H865" s="22"/>
    </row>
    <row r="866" ht="15.75" customHeight="1">
      <c r="H866" s="22"/>
    </row>
    <row r="867" ht="15.75" customHeight="1">
      <c r="H867" s="22"/>
    </row>
    <row r="868" ht="15.75" customHeight="1">
      <c r="H868" s="22"/>
    </row>
    <row r="869" ht="15.75" customHeight="1">
      <c r="H869" s="22"/>
    </row>
    <row r="870" ht="15.75" customHeight="1">
      <c r="H870" s="22"/>
    </row>
    <row r="871" ht="15.75" customHeight="1">
      <c r="H871" s="22"/>
    </row>
    <row r="872" ht="15.75" customHeight="1">
      <c r="H872" s="22"/>
    </row>
    <row r="873" ht="15.75" customHeight="1">
      <c r="H873" s="22"/>
    </row>
    <row r="874" ht="15.75" customHeight="1">
      <c r="H874" s="22"/>
    </row>
    <row r="875" ht="15.75" customHeight="1">
      <c r="H875" s="22"/>
    </row>
    <row r="876" ht="15.75" customHeight="1">
      <c r="H876" s="22"/>
    </row>
    <row r="877" ht="15.75" customHeight="1">
      <c r="H877" s="22"/>
    </row>
    <row r="878" ht="15.75" customHeight="1">
      <c r="H878" s="22"/>
    </row>
    <row r="879" ht="15.75" customHeight="1">
      <c r="H879" s="22"/>
    </row>
    <row r="880" ht="15.75" customHeight="1">
      <c r="H880" s="22"/>
    </row>
    <row r="881" ht="15.75" customHeight="1">
      <c r="H881" s="22"/>
    </row>
    <row r="882" ht="15.75" customHeight="1">
      <c r="H882" s="22"/>
    </row>
    <row r="883" ht="15.75" customHeight="1">
      <c r="H883" s="22"/>
    </row>
    <row r="884" ht="15.75" customHeight="1">
      <c r="H884" s="22"/>
    </row>
    <row r="885" ht="15.75" customHeight="1">
      <c r="H885" s="22"/>
    </row>
    <row r="886" ht="15.75" customHeight="1">
      <c r="H886" s="22"/>
    </row>
    <row r="887" ht="15.75" customHeight="1">
      <c r="H887" s="22"/>
    </row>
    <row r="888" ht="15.75" customHeight="1">
      <c r="H888" s="22"/>
    </row>
    <row r="889" ht="15.75" customHeight="1">
      <c r="H889" s="22"/>
    </row>
    <row r="890" ht="15.75" customHeight="1">
      <c r="H890" s="22"/>
    </row>
    <row r="891" ht="15.75" customHeight="1">
      <c r="H891" s="22"/>
    </row>
    <row r="892" ht="15.75" customHeight="1">
      <c r="H892" s="22"/>
    </row>
    <row r="893" ht="15.75" customHeight="1">
      <c r="H893" s="22"/>
    </row>
    <row r="894" ht="15.75" customHeight="1">
      <c r="H894" s="22"/>
    </row>
    <row r="895" ht="15.75" customHeight="1">
      <c r="H895" s="22"/>
    </row>
    <row r="896" ht="15.75" customHeight="1">
      <c r="H896" s="22"/>
    </row>
    <row r="897" ht="15.75" customHeight="1">
      <c r="H897" s="22"/>
    </row>
    <row r="898" ht="15.75" customHeight="1">
      <c r="H898" s="22"/>
    </row>
    <row r="899" ht="15.75" customHeight="1">
      <c r="H899" s="22"/>
    </row>
    <row r="900" ht="15.75" customHeight="1">
      <c r="H900" s="22"/>
    </row>
    <row r="901" ht="15.75" customHeight="1">
      <c r="H901" s="22"/>
    </row>
    <row r="902" ht="15.75" customHeight="1">
      <c r="H902" s="22"/>
    </row>
    <row r="903" ht="15.75" customHeight="1">
      <c r="H903" s="22"/>
    </row>
    <row r="904" ht="15.75" customHeight="1">
      <c r="H904" s="22"/>
    </row>
    <row r="905" ht="15.75" customHeight="1">
      <c r="H905" s="22"/>
    </row>
    <row r="906" ht="15.75" customHeight="1">
      <c r="H906" s="22"/>
    </row>
    <row r="907" ht="15.75" customHeight="1">
      <c r="H907" s="22"/>
    </row>
    <row r="908" ht="15.75" customHeight="1">
      <c r="H908" s="22"/>
    </row>
    <row r="909" ht="15.75" customHeight="1">
      <c r="H909" s="22"/>
    </row>
    <row r="910" ht="15.75" customHeight="1">
      <c r="H910" s="22"/>
    </row>
    <row r="911" ht="15.75" customHeight="1">
      <c r="H911" s="22"/>
    </row>
    <row r="912" ht="15.75" customHeight="1">
      <c r="H912" s="22"/>
    </row>
    <row r="913" ht="15.75" customHeight="1">
      <c r="H913" s="22"/>
    </row>
    <row r="914" ht="15.75" customHeight="1">
      <c r="H914" s="22"/>
    </row>
    <row r="915" ht="15.75" customHeight="1">
      <c r="H915" s="22"/>
    </row>
    <row r="916" ht="15.75" customHeight="1">
      <c r="H916" s="22"/>
    </row>
    <row r="917" ht="15.75" customHeight="1">
      <c r="H917" s="22"/>
    </row>
    <row r="918" ht="15.75" customHeight="1">
      <c r="H918" s="22"/>
    </row>
    <row r="919" ht="15.75" customHeight="1">
      <c r="H919" s="22"/>
    </row>
    <row r="920" ht="15.75" customHeight="1">
      <c r="H920" s="22"/>
    </row>
    <row r="921" ht="15.75" customHeight="1">
      <c r="H921" s="22"/>
    </row>
    <row r="922" ht="15.75" customHeight="1">
      <c r="H922" s="22"/>
    </row>
    <row r="923" ht="15.75" customHeight="1">
      <c r="H923" s="22"/>
    </row>
    <row r="924" ht="15.75" customHeight="1">
      <c r="H924" s="22"/>
    </row>
    <row r="925" ht="15.75" customHeight="1">
      <c r="H925" s="22"/>
    </row>
    <row r="926" ht="15.75" customHeight="1">
      <c r="H926" s="22"/>
    </row>
    <row r="927" ht="15.75" customHeight="1">
      <c r="H927" s="22"/>
    </row>
    <row r="928" ht="15.75" customHeight="1">
      <c r="H928" s="22"/>
    </row>
    <row r="929" ht="15.75" customHeight="1">
      <c r="H929" s="22"/>
    </row>
    <row r="930" ht="15.75" customHeight="1">
      <c r="H930" s="22"/>
    </row>
    <row r="931" ht="15.75" customHeight="1">
      <c r="H931" s="22"/>
    </row>
    <row r="932" ht="15.75" customHeight="1">
      <c r="H932" s="22"/>
    </row>
    <row r="933" ht="15.75" customHeight="1">
      <c r="H933" s="22"/>
    </row>
    <row r="934" ht="15.75" customHeight="1">
      <c r="H934" s="22"/>
    </row>
    <row r="935" ht="15.75" customHeight="1">
      <c r="H935" s="22"/>
    </row>
    <row r="936" ht="15.75" customHeight="1">
      <c r="H936" s="22"/>
    </row>
    <row r="937" ht="15.75" customHeight="1">
      <c r="H937" s="22"/>
    </row>
    <row r="938" ht="15.75" customHeight="1">
      <c r="H938" s="22"/>
    </row>
    <row r="939" ht="15.75" customHeight="1">
      <c r="H939" s="22"/>
    </row>
    <row r="940" ht="15.75" customHeight="1">
      <c r="H940" s="22"/>
    </row>
    <row r="941" ht="15.75" customHeight="1">
      <c r="H941" s="22"/>
    </row>
    <row r="942" ht="15.75" customHeight="1">
      <c r="H942" s="22"/>
    </row>
    <row r="943" ht="15.75" customHeight="1">
      <c r="H943" s="22"/>
    </row>
    <row r="944" ht="15.75" customHeight="1">
      <c r="H944" s="22"/>
    </row>
    <row r="945" ht="15.75" customHeight="1">
      <c r="H945" s="22"/>
    </row>
    <row r="946" ht="15.75" customHeight="1">
      <c r="H946" s="22"/>
    </row>
    <row r="947" ht="15.75" customHeight="1">
      <c r="H947" s="22"/>
    </row>
    <row r="948" ht="15.75" customHeight="1">
      <c r="H948" s="22"/>
    </row>
    <row r="949" ht="15.75" customHeight="1">
      <c r="H949" s="22"/>
    </row>
    <row r="950" ht="15.75" customHeight="1">
      <c r="H950" s="22"/>
    </row>
    <row r="951" ht="15.75" customHeight="1">
      <c r="H951" s="22"/>
    </row>
    <row r="952" ht="15.75" customHeight="1">
      <c r="H952" s="22"/>
    </row>
    <row r="953" ht="15.75" customHeight="1">
      <c r="H953" s="22"/>
    </row>
    <row r="954" ht="15.75" customHeight="1">
      <c r="H954" s="22"/>
    </row>
    <row r="955" ht="15.75" customHeight="1">
      <c r="H955" s="22"/>
    </row>
    <row r="956" ht="15.75" customHeight="1">
      <c r="H956" s="22"/>
    </row>
    <row r="957" ht="15.75" customHeight="1">
      <c r="H957" s="22"/>
    </row>
    <row r="958" ht="15.75" customHeight="1">
      <c r="H958" s="22"/>
    </row>
    <row r="959" ht="15.75" customHeight="1">
      <c r="H959" s="22"/>
    </row>
    <row r="960" ht="15.75" customHeight="1">
      <c r="H960" s="22"/>
    </row>
    <row r="961" ht="15.75" customHeight="1">
      <c r="H961" s="22"/>
    </row>
    <row r="962" ht="15.75" customHeight="1">
      <c r="H962" s="22"/>
    </row>
    <row r="963" ht="15.75" customHeight="1">
      <c r="H963" s="22"/>
    </row>
    <row r="964" ht="15.75" customHeight="1">
      <c r="H964" s="22"/>
    </row>
    <row r="965" ht="15.75" customHeight="1">
      <c r="H965" s="22"/>
    </row>
    <row r="966" ht="15.75" customHeight="1">
      <c r="H966" s="22"/>
    </row>
    <row r="967" ht="15.75" customHeight="1">
      <c r="H967" s="22"/>
    </row>
    <row r="968" ht="15.75" customHeight="1">
      <c r="H968" s="22"/>
    </row>
    <row r="969" ht="15.75" customHeight="1">
      <c r="H969" s="22"/>
    </row>
    <row r="970" ht="15.75" customHeight="1">
      <c r="H970" s="22"/>
    </row>
    <row r="971" ht="15.75" customHeight="1">
      <c r="H971" s="22"/>
    </row>
    <row r="972" ht="15.75" customHeight="1">
      <c r="H972" s="22"/>
    </row>
    <row r="973" ht="15.75" customHeight="1">
      <c r="H973" s="22"/>
    </row>
    <row r="974" ht="15.75" customHeight="1">
      <c r="H974" s="22"/>
    </row>
    <row r="975" ht="15.75" customHeight="1">
      <c r="H975" s="22"/>
    </row>
    <row r="976" ht="15.75" customHeight="1">
      <c r="H976" s="22"/>
    </row>
    <row r="977" ht="15.75" customHeight="1">
      <c r="H977" s="22"/>
    </row>
    <row r="978" ht="15.75" customHeight="1">
      <c r="H978" s="22"/>
    </row>
    <row r="979" ht="15.75" customHeight="1">
      <c r="H979" s="22"/>
    </row>
    <row r="980" ht="15.75" customHeight="1">
      <c r="H980" s="22"/>
    </row>
    <row r="981" ht="15.75" customHeight="1">
      <c r="H981" s="22"/>
    </row>
    <row r="982" ht="15.75" customHeight="1">
      <c r="H982" s="22"/>
    </row>
    <row r="983" ht="15.75" customHeight="1">
      <c r="H983" s="22"/>
    </row>
    <row r="984" ht="15.75" customHeight="1">
      <c r="H984" s="22"/>
    </row>
    <row r="985" ht="15.75" customHeight="1">
      <c r="H985" s="22"/>
    </row>
    <row r="986" ht="15.75" customHeight="1">
      <c r="H986" s="22"/>
    </row>
  </sheetData>
  <mergeCells count="1">
    <mergeCell ref="J5:J8"/>
  </mergeCells>
  <conditionalFormatting sqref="C2:C75">
    <cfRule type="containsText" dxfId="0" priority="1" operator="containsText" text="Fail">
      <formula>NOT(ISERROR(SEARCH(("Fail"),(C2))))</formula>
    </cfRule>
  </conditionalFormatting>
  <conditionalFormatting sqref="M10:Y10">
    <cfRule type="cellIs" dxfId="1" priority="2" operator="lessThan">
      <formula>50</formula>
    </cfRule>
  </conditionalFormatting>
  <conditionalFormatting sqref="I2:I75">
    <cfRule type="cellIs" dxfId="2" priority="3" operator="lessThan">
      <formula>50</formula>
    </cfRule>
  </conditionalFormatting>
  <conditionalFormatting sqref="I2:I75">
    <cfRule type="cellIs" dxfId="2" priority="4" operator="lessThan">
      <formula>50</formula>
    </cfRule>
  </conditionalFormatting>
  <conditionalFormatting sqref="I2:I75">
    <cfRule type="cellIs" dxfId="2" priority="5" operator="lessThan">
      <formula>40</formula>
    </cfRule>
  </conditionalFormatting>
  <conditionalFormatting sqref="I2:I75">
    <cfRule type="cellIs" dxfId="1" priority="6" operator="greaterThan">
      <formula>80</formula>
    </cfRule>
  </conditionalFormatting>
  <printOptions/>
  <pageMargins bottom="0.75" footer="0.0" header="0.0" left="0.7" right="0.7" top="0.75"/>
  <pageSetup orientation="portrait"/>
  <colBreaks count="1" manualBreakCount="1">
    <brk id="9" man="1"/>
  </colBreaks>
  <drawing r:id="rId1"/>
</worksheet>
</file>